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MAGON\Downloads\MUMI\Gestión ambiental\ASOCIACIÓN PARA EL EMPRENDIMIENTO INNOVADOR DEL GUAVIARE\ENTREGABLES\ADEMI\PMIRS\"/>
    </mc:Choice>
  </mc:AlternateContent>
  <xr:revisionPtr revIDLastSave="0" documentId="13_ncr:1_{F2AF0225-D976-4EB5-9A8D-72387957BF39}" xr6:coauthVersionLast="47" xr6:coauthVersionMax="47" xr10:uidLastSave="{00000000-0000-0000-0000-000000000000}"/>
  <bookViews>
    <workbookView xWindow="-108" yWindow="-108" windowWidth="23256" windowHeight="12456" activeTab="1" xr2:uid="{5D423F19-B0B0-49B9-BF9F-B926CAC8B412}"/>
  </bookViews>
  <sheets>
    <sheet name="AMAZONICO" sheetId="1" r:id="rId1"/>
    <sheet name="MUMI" sheetId="2" r:id="rId2"/>
    <sheet name="KATALA" sheetId="3" r:id="rId3"/>
    <sheet name="UMARI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H9" i="2"/>
  <c r="H8" i="2"/>
  <c r="H7" i="2"/>
  <c r="H6" i="2"/>
  <c r="H10" i="2"/>
  <c r="K14" i="4"/>
  <c r="J14" i="4"/>
  <c r="K13" i="4"/>
  <c r="J13" i="4"/>
  <c r="K12" i="4"/>
  <c r="J12" i="4"/>
  <c r="K11" i="4"/>
  <c r="J11" i="4"/>
  <c r="K10" i="4"/>
  <c r="J10" i="4"/>
  <c r="K9" i="4"/>
  <c r="J9" i="4"/>
  <c r="K14" i="3"/>
  <c r="J14" i="3"/>
  <c r="K13" i="3"/>
  <c r="J13" i="3"/>
  <c r="K12" i="3"/>
  <c r="J12" i="3"/>
  <c r="K11" i="3"/>
  <c r="J11" i="3"/>
  <c r="K10" i="3"/>
  <c r="J10" i="3"/>
  <c r="K9" i="3"/>
  <c r="J9" i="3"/>
  <c r="G10" i="2"/>
  <c r="G9" i="2"/>
  <c r="G8" i="2"/>
  <c r="G7" i="2"/>
  <c r="G6" i="2"/>
  <c r="G5" i="2"/>
  <c r="C21" i="1"/>
  <c r="C22" i="1"/>
  <c r="C23" i="1"/>
  <c r="C24" i="1"/>
  <c r="C25" i="1"/>
  <c r="K14" i="1"/>
  <c r="C20" i="1"/>
  <c r="J9" i="1"/>
  <c r="J10" i="1"/>
  <c r="J11" i="1"/>
  <c r="J12" i="1"/>
  <c r="J13" i="1"/>
  <c r="K9" i="1"/>
  <c r="K10" i="1"/>
  <c r="K11" i="1"/>
  <c r="K12" i="1"/>
  <c r="K13" i="1"/>
  <c r="K8" i="1"/>
  <c r="J8" i="1"/>
  <c r="K15" i="4" l="1"/>
  <c r="C25" i="3"/>
  <c r="C22" i="3"/>
  <c r="C23" i="3"/>
  <c r="C24" i="3"/>
  <c r="C21" i="3"/>
  <c r="C26" i="3"/>
  <c r="K15" i="3"/>
  <c r="H11" i="2"/>
  <c r="B21" i="2" s="1"/>
  <c r="C24" i="4" l="1"/>
  <c r="C25" i="4"/>
  <c r="C26" i="4"/>
  <c r="C23" i="4"/>
  <c r="C22" i="4"/>
  <c r="C21" i="4"/>
  <c r="B19" i="2"/>
  <c r="B20" i="2"/>
  <c r="B22" i="2"/>
  <c r="B18" i="2"/>
  <c r="B17" i="2"/>
</calcChain>
</file>

<file path=xl/sharedStrings.xml><?xml version="1.0" encoding="utf-8"?>
<sst xmlns="http://schemas.openxmlformats.org/spreadsheetml/2006/main" count="124" uniqueCount="18">
  <si>
    <t>Residuo</t>
  </si>
  <si>
    <t>Ordinario</t>
  </si>
  <si>
    <t>Papel-Cartón</t>
  </si>
  <si>
    <t>Plástico</t>
  </si>
  <si>
    <t>Vidrios</t>
  </si>
  <si>
    <t>Organicos</t>
  </si>
  <si>
    <t>Peligrosos</t>
  </si>
  <si>
    <t>Peso (Kg)</t>
  </si>
  <si>
    <t>Dia 1</t>
  </si>
  <si>
    <t>Dia 2</t>
  </si>
  <si>
    <t>Dia 3</t>
  </si>
  <si>
    <t>Dia 4</t>
  </si>
  <si>
    <t>Dia 5</t>
  </si>
  <si>
    <t>Dia 6</t>
  </si>
  <si>
    <t>Dia 7</t>
  </si>
  <si>
    <t>Promedio</t>
  </si>
  <si>
    <t>TOTAL</t>
  </si>
  <si>
    <t>Porcentaje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</si>
</sst>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Fill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RESIDUOS SÓLIDOS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AMAZONICO!$C$18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11C-409F-B54E-07BC06EDBA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1C-409F-B54E-07BC06EDBA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11C-409F-B54E-07BC06EDBAB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11C-409F-B54E-07BC06EDBAB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5F-46C8-BE7B-15470D3C1C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11C-409F-B54E-07BC06EDBA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AMAZONICO!$B$20:$B$25</c:f>
              <c:strCache>
                <c:ptCount val="6"/>
                <c:pt idx="0">
                  <c:v>Ordinario</c:v>
                </c:pt>
                <c:pt idx="1">
                  <c:v>Papel-Cartón</c:v>
                </c:pt>
                <c:pt idx="2">
                  <c:v>Plástico</c:v>
                </c:pt>
                <c:pt idx="3">
                  <c:v>Vidrios</c:v>
                </c:pt>
                <c:pt idx="4">
                  <c:v>Organicos</c:v>
                </c:pt>
                <c:pt idx="5">
                  <c:v>Peligrosos</c:v>
                </c:pt>
              </c:strCache>
            </c:strRef>
          </c:cat>
          <c:val>
            <c:numRef>
              <c:f>AMAZONICO!$C$20:$C$25</c:f>
              <c:numCache>
                <c:formatCode>0.000</c:formatCode>
                <c:ptCount val="6"/>
                <c:pt idx="0">
                  <c:v>8.2332761578044611</c:v>
                </c:pt>
                <c:pt idx="1">
                  <c:v>4.2309891366495131</c:v>
                </c:pt>
                <c:pt idx="2">
                  <c:v>7.6615208690680392</c:v>
                </c:pt>
                <c:pt idx="3">
                  <c:v>0.80045740423098899</c:v>
                </c:pt>
                <c:pt idx="4">
                  <c:v>78.845054316752424</c:v>
                </c:pt>
                <c:pt idx="5">
                  <c:v>0.22870211549456831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5F-46C8-BE7B-15470D3C1C7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RESIDUOS SÓLIDOS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AMAZONICO!$C$18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C70-46ED-BB27-13DBB7D7E7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C70-46ED-BB27-13DBB7D7E7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C70-46ED-BB27-13DBB7D7E7F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C70-46ED-BB27-13DBB7D7E7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C70-46ED-BB27-13DBB7D7E7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C70-46ED-BB27-13DBB7D7E7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AMAZONICO!$B$20:$B$25</c:f>
              <c:strCache>
                <c:ptCount val="6"/>
                <c:pt idx="0">
                  <c:v>Ordinario</c:v>
                </c:pt>
                <c:pt idx="1">
                  <c:v>Papel-Cartón</c:v>
                </c:pt>
                <c:pt idx="2">
                  <c:v>Plástico</c:v>
                </c:pt>
                <c:pt idx="3">
                  <c:v>Vidrios</c:v>
                </c:pt>
                <c:pt idx="4">
                  <c:v>Organicos</c:v>
                </c:pt>
                <c:pt idx="5">
                  <c:v>Peligrosos</c:v>
                </c:pt>
              </c:strCache>
            </c:strRef>
          </c:cat>
          <c:val>
            <c:numRef>
              <c:f>AMAZONICO!$C$20:$C$25</c:f>
              <c:numCache>
                <c:formatCode>0.000</c:formatCode>
                <c:ptCount val="6"/>
                <c:pt idx="0">
                  <c:v>8.2332761578044611</c:v>
                </c:pt>
                <c:pt idx="1">
                  <c:v>4.2309891366495131</c:v>
                </c:pt>
                <c:pt idx="2">
                  <c:v>7.6615208690680392</c:v>
                </c:pt>
                <c:pt idx="3">
                  <c:v>0.80045740423098899</c:v>
                </c:pt>
                <c:pt idx="4">
                  <c:v>78.845054316752424</c:v>
                </c:pt>
                <c:pt idx="5">
                  <c:v>0.22870211549456831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70-46ED-BB27-13DBB7D7E7F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RESIDUOS SÓLIDOS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UMARI!$C$19</c:f>
              <c:strCache>
                <c:ptCount val="1"/>
                <c:pt idx="0">
                  <c:v>Porcentaje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2DD-4CB9-9ABE-F3FBA3B797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2DD-4CB9-9ABE-F3FBA3B797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2DD-4CB9-9ABE-F3FBA3B797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2DD-4CB9-9ABE-F3FBA3B797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2DD-4CB9-9ABE-F3FBA3B797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2DD-4CB9-9ABE-F3FBA3B797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UMARI!$B$21:$B$26</c:f>
              <c:strCache>
                <c:ptCount val="6"/>
                <c:pt idx="0">
                  <c:v>Ordinario</c:v>
                </c:pt>
                <c:pt idx="1">
                  <c:v>Papel-Cartón</c:v>
                </c:pt>
                <c:pt idx="2">
                  <c:v>Plástico</c:v>
                </c:pt>
                <c:pt idx="3">
                  <c:v>Vidrios</c:v>
                </c:pt>
                <c:pt idx="4">
                  <c:v>Organicos</c:v>
                </c:pt>
                <c:pt idx="5">
                  <c:v>Peligrosos</c:v>
                </c:pt>
              </c:strCache>
            </c:strRef>
          </c:cat>
          <c:val>
            <c:numRef>
              <c:f>UMARI!$C$21:$C$26</c:f>
              <c:numCache>
                <c:formatCode>0.000</c:formatCode>
                <c:ptCount val="6"/>
                <c:pt idx="0">
                  <c:v>7.0957932083122151</c:v>
                </c:pt>
                <c:pt idx="1">
                  <c:v>6.0821084642676126</c:v>
                </c:pt>
                <c:pt idx="2">
                  <c:v>2.8383172833248858</c:v>
                </c:pt>
                <c:pt idx="3">
                  <c:v>0.91231626964014179</c:v>
                </c:pt>
                <c:pt idx="4">
                  <c:v>82.868727825646218</c:v>
                </c:pt>
                <c:pt idx="5">
                  <c:v>0.20273694880892043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2DD-4CB9-9ABE-F3FBA3B797B2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289560</xdr:colOff>
      <xdr:row>2</xdr:row>
      <xdr:rowOff>137160</xdr:rowOff>
    </xdr:from>
    <xdr:to>
      <xdr:col>4</xdr:col>
      <xdr:colOff>247873</xdr:colOff>
      <xdr:row>5</xdr:row>
      <xdr:rowOff>50202</xdr:rowOff>
    </xdr:to>
    <xdr:pic>
      <xdr:nvPicPr>
        <xdr:cNvPr id="2" name="Imagen 1" descr="Riqueza Natural de USAID programa">
          <a:extLst>
            <a:ext uri="{FF2B5EF4-FFF2-40B4-BE49-F238E27FC236}">
              <a16:creationId xmlns:a16="http://schemas.microsoft.com/office/drawing/2014/main" id="{0202F6D7-99B6-415F-A45F-7A0A68A0718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502920"/>
          <a:ext cx="1169893" cy="46930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56476</xdr:colOff>
      <xdr:row>3</xdr:row>
      <xdr:rowOff>3586</xdr:rowOff>
    </xdr:from>
    <xdr:to>
      <xdr:col>8</xdr:col>
      <xdr:colOff>437476</xdr:colOff>
      <xdr:row>5</xdr:row>
      <xdr:rowOff>15688</xdr:rowOff>
    </xdr:to>
    <xdr:pic>
      <xdr:nvPicPr>
        <xdr:cNvPr id="3" name="Imagen 2" descr="Inicio - Fondo Mujer libre y productiva">
          <a:extLst>
            <a:ext uri="{FF2B5EF4-FFF2-40B4-BE49-F238E27FC236}">
              <a16:creationId xmlns:a16="http://schemas.microsoft.com/office/drawing/2014/main" id="{1648372A-10B3-4978-974E-FA04456355C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8936" y="559846"/>
          <a:ext cx="952500" cy="37786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483328</xdr:colOff>
      <xdr:row>16</xdr:row>
      <xdr:rowOff>136071</xdr:rowOff>
    </xdr:from>
    <xdr:to>
      <xdr:col>11</xdr:col>
      <xdr:colOff>65316</xdr:colOff>
      <xdr:row>30</xdr:row>
      <xdr:rowOff>65314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A21490B-4890-4E08-B565-DEF5451F6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121921</xdr:colOff>
      <xdr:row>0</xdr:row>
      <xdr:rowOff>0</xdr:rowOff>
    </xdr:from>
    <xdr:to>
      <xdr:col>2</xdr:col>
      <xdr:colOff>420486</xdr:colOff>
      <xdr:row>2</xdr:row>
      <xdr:rowOff>68580</xdr:rowOff>
    </xdr:to>
    <xdr:pic>
      <xdr:nvPicPr>
        <xdr:cNvPr id="2" name="Imagen 1" descr="Riqueza Natural de USAID programa">
          <a:extLst>
            <a:ext uri="{FF2B5EF4-FFF2-40B4-BE49-F238E27FC236}">
              <a16:creationId xmlns:a16="http://schemas.microsoft.com/office/drawing/2014/main" id="{2CD9D455-024F-498B-8089-1ADAE7C6E3E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1" y="0"/>
          <a:ext cx="1104900" cy="4343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0</xdr:colOff>
      <xdr:row>0</xdr:row>
      <xdr:rowOff>3586</xdr:rowOff>
    </xdr:from>
    <xdr:to>
      <xdr:col>7</xdr:col>
      <xdr:colOff>244532</xdr:colOff>
      <xdr:row>2</xdr:row>
      <xdr:rowOff>15688</xdr:rowOff>
    </xdr:to>
    <xdr:pic>
      <xdr:nvPicPr>
        <xdr:cNvPr id="3" name="Imagen 2" descr="Inicio - Fondo Mujer libre y productiva">
          <a:extLst>
            <a:ext uri="{FF2B5EF4-FFF2-40B4-BE49-F238E27FC236}">
              <a16:creationId xmlns:a16="http://schemas.microsoft.com/office/drawing/2014/main" id="{F371DDF0-48E2-402D-8671-5172B4CE768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7516" y="559846"/>
          <a:ext cx="952500" cy="37786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2</xdr:col>
      <xdr:colOff>483328</xdr:colOff>
      <xdr:row>13</xdr:row>
      <xdr:rowOff>136071</xdr:rowOff>
    </xdr:from>
    <xdr:to>
      <xdr:col>8</xdr:col>
      <xdr:colOff>65316</xdr:colOff>
      <xdr:row>27</xdr:row>
      <xdr:rowOff>65314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115D27-E909-4717-8F6E-11141D6C6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289560</xdr:colOff>
      <xdr:row>3</xdr:row>
      <xdr:rowOff>137160</xdr:rowOff>
    </xdr:from>
    <xdr:to>
      <xdr:col>4</xdr:col>
      <xdr:colOff>122687</xdr:colOff>
      <xdr:row>6</xdr:row>
      <xdr:rowOff>57822</xdr:rowOff>
    </xdr:to>
    <xdr:pic>
      <xdr:nvPicPr>
        <xdr:cNvPr id="2" name="Imagen 1" descr="Riqueza Natural de USAID programa">
          <a:extLst>
            <a:ext uri="{FF2B5EF4-FFF2-40B4-BE49-F238E27FC236}">
              <a16:creationId xmlns:a16="http://schemas.microsoft.com/office/drawing/2014/main" id="{B885EE47-2F96-4A4B-93B2-59BADB72AD4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74520" y="502920"/>
          <a:ext cx="1169893" cy="46930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56476</xdr:colOff>
      <xdr:row>4</xdr:row>
      <xdr:rowOff>3586</xdr:rowOff>
    </xdr:from>
    <xdr:to>
      <xdr:col>8</xdr:col>
      <xdr:colOff>390667</xdr:colOff>
      <xdr:row>6</xdr:row>
      <xdr:rowOff>15688</xdr:rowOff>
    </xdr:to>
    <xdr:pic>
      <xdr:nvPicPr>
        <xdr:cNvPr id="3" name="Imagen 2" descr="Inicio - Fondo Mujer libre y productiva">
          <a:extLst>
            <a:ext uri="{FF2B5EF4-FFF2-40B4-BE49-F238E27FC236}">
              <a16:creationId xmlns:a16="http://schemas.microsoft.com/office/drawing/2014/main" id="{96D4B5F7-DDD6-405E-BE9E-20266557E82F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7516" y="559846"/>
          <a:ext cx="952500" cy="37786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121921</xdr:colOff>
      <xdr:row>4</xdr:row>
      <xdr:rowOff>0</xdr:rowOff>
    </xdr:from>
    <xdr:to>
      <xdr:col>3</xdr:col>
      <xdr:colOff>535682</xdr:colOff>
      <xdr:row>6</xdr:row>
      <xdr:rowOff>68580</xdr:rowOff>
    </xdr:to>
    <xdr:pic>
      <xdr:nvPicPr>
        <xdr:cNvPr id="2" name="Imagen 1" descr="Riqueza Natural de USAID programa">
          <a:extLst>
            <a:ext uri="{FF2B5EF4-FFF2-40B4-BE49-F238E27FC236}">
              <a16:creationId xmlns:a16="http://schemas.microsoft.com/office/drawing/2014/main" id="{4F86CE56-AF0F-4915-B638-B7DCD77AA06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1" y="0"/>
          <a:ext cx="1098665" cy="4343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7</xdr:col>
      <xdr:colOff>56476</xdr:colOff>
      <xdr:row>4</xdr:row>
      <xdr:rowOff>3586</xdr:rowOff>
    </xdr:from>
    <xdr:to>
      <xdr:col>8</xdr:col>
      <xdr:colOff>388862</xdr:colOff>
      <xdr:row>6</xdr:row>
      <xdr:rowOff>15688</xdr:rowOff>
    </xdr:to>
    <xdr:pic>
      <xdr:nvPicPr>
        <xdr:cNvPr id="3" name="Imagen 2" descr="Inicio - Fondo Mujer libre y productiva">
          <a:extLst>
            <a:ext uri="{FF2B5EF4-FFF2-40B4-BE49-F238E27FC236}">
              <a16:creationId xmlns:a16="http://schemas.microsoft.com/office/drawing/2014/main" id="{6F8611E8-7E9A-4C63-84C3-7C39C1E5579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14176" y="3586"/>
          <a:ext cx="945572" cy="377862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483328</xdr:colOff>
      <xdr:row>17</xdr:row>
      <xdr:rowOff>136071</xdr:rowOff>
    </xdr:from>
    <xdr:to>
      <xdr:col>11</xdr:col>
      <xdr:colOff>65316</xdr:colOff>
      <xdr:row>31</xdr:row>
      <xdr:rowOff>65314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AF8827-BA0D-4B39-BFFA-06593259A5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61A3D-F956-4D25-AE29-088345C92677}">
  <dimension ref="B3:K25"/>
  <sheetViews>
    <sheetView topLeftCell="B1" zoomScale="70" zoomScaleNormal="70" workbookViewId="0">
      <selection activeCell="B4" sqref="B4:K30"/>
    </sheetView>
  </sheetViews>
  <sheetFormatPr baseColWidth="10" defaultRowHeight="14.4" x14ac:dyDescent="0.3"/>
  <cols>
    <col min="3" max="3" width="9.33203125" customWidth="1"/>
    <col min="4" max="9" width="8.33203125" bestFit="1" customWidth="1"/>
    <col min="10" max="10" width="8.88671875" bestFit="1" customWidth="1"/>
    <col min="11" max="11" width="6.33203125" bestFit="1" customWidth="1"/>
  </cols>
  <sheetData>
    <row r="3" spans="2:11" ht="15" thickBot="1" x14ac:dyDescent="0.35"/>
    <row r="4" spans="2:11" x14ac:dyDescent="0.3">
      <c r="B4" s="28"/>
      <c r="C4" s="29"/>
      <c r="D4" s="29"/>
      <c r="E4" s="29"/>
      <c r="F4" s="29"/>
      <c r="G4" s="29"/>
      <c r="H4" s="29"/>
      <c r="I4" s="29"/>
      <c r="J4" s="29"/>
      <c r="K4" s="30"/>
    </row>
    <row r="5" spans="2:11" x14ac:dyDescent="0.3">
      <c r="B5" s="31"/>
      <c r="C5" s="32"/>
      <c r="D5" s="32"/>
      <c r="E5" s="32"/>
      <c r="F5" s="32"/>
      <c r="G5" s="32"/>
      <c r="H5" s="32"/>
      <c r="I5" s="32"/>
      <c r="J5" s="32"/>
      <c r="K5" s="33"/>
    </row>
    <row r="6" spans="2:11" x14ac:dyDescent="0.3">
      <c r="B6" s="27" t="s">
        <v>0</v>
      </c>
      <c r="C6" s="2" t="s">
        <v>7</v>
      </c>
      <c r="D6" s="2" t="s">
        <v>7</v>
      </c>
      <c r="E6" s="2" t="s">
        <v>7</v>
      </c>
      <c r="F6" s="2" t="s">
        <v>7</v>
      </c>
      <c r="G6" s="2" t="s">
        <v>7</v>
      </c>
      <c r="H6" s="2" t="s">
        <v>7</v>
      </c>
      <c r="I6" s="2" t="s">
        <v>7</v>
      </c>
      <c r="J6" s="23" t="s">
        <v>15</v>
      </c>
      <c r="K6" s="25" t="s">
        <v>16</v>
      </c>
    </row>
    <row r="7" spans="2:11" x14ac:dyDescent="0.3">
      <c r="B7" s="20"/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4"/>
      <c r="K7" s="26"/>
    </row>
    <row r="8" spans="2:11" x14ac:dyDescent="0.3">
      <c r="B8" s="3" t="s">
        <v>1</v>
      </c>
      <c r="C8" s="1">
        <v>0.8</v>
      </c>
      <c r="D8" s="1">
        <v>0.7</v>
      </c>
      <c r="E8" s="1">
        <v>1.1000000000000001</v>
      </c>
      <c r="F8" s="1">
        <v>0.4</v>
      </c>
      <c r="G8" s="1">
        <v>1</v>
      </c>
      <c r="H8" s="1">
        <v>1.5</v>
      </c>
      <c r="I8" s="1">
        <v>1.7</v>
      </c>
      <c r="J8" s="8">
        <f>AVERAGE(C8:I8)</f>
        <v>1.0285714285714287</v>
      </c>
      <c r="K8" s="4">
        <f>SUM(C8:I8)</f>
        <v>7.2</v>
      </c>
    </row>
    <row r="9" spans="2:11" x14ac:dyDescent="0.3">
      <c r="B9" s="3" t="s">
        <v>2</v>
      </c>
      <c r="C9" s="1">
        <v>0.7</v>
      </c>
      <c r="D9" s="1">
        <v>0.4</v>
      </c>
      <c r="E9" s="1">
        <v>0.4</v>
      </c>
      <c r="F9" s="1">
        <v>0.5</v>
      </c>
      <c r="G9" s="1">
        <v>0.3</v>
      </c>
      <c r="H9" s="1">
        <v>0.8</v>
      </c>
      <c r="I9" s="1">
        <v>0.6</v>
      </c>
      <c r="J9" s="8">
        <f t="shared" ref="J9:J13" si="0">AVERAGE(C9:I9)</f>
        <v>0.52857142857142858</v>
      </c>
      <c r="K9" s="4">
        <f t="shared" ref="K9:K13" si="1">SUM(C9:I9)</f>
        <v>3.6999999999999997</v>
      </c>
    </row>
    <row r="10" spans="2:11" x14ac:dyDescent="0.3">
      <c r="B10" s="3" t="s">
        <v>3</v>
      </c>
      <c r="C10" s="1">
        <v>0.9</v>
      </c>
      <c r="D10" s="1">
        <v>0.8</v>
      </c>
      <c r="E10" s="1">
        <v>0.8</v>
      </c>
      <c r="F10" s="1">
        <v>0.9</v>
      </c>
      <c r="G10" s="1">
        <v>1</v>
      </c>
      <c r="H10" s="1">
        <v>1.2</v>
      </c>
      <c r="I10" s="1">
        <v>1.1000000000000001</v>
      </c>
      <c r="J10" s="8">
        <f t="shared" si="0"/>
        <v>0.9571428571428573</v>
      </c>
      <c r="K10" s="4">
        <f t="shared" si="1"/>
        <v>6.7000000000000011</v>
      </c>
    </row>
    <row r="11" spans="2:11" x14ac:dyDescent="0.3">
      <c r="B11" s="3" t="s">
        <v>4</v>
      </c>
      <c r="C11" s="1">
        <v>0.2</v>
      </c>
      <c r="D11" s="1">
        <v>0.1</v>
      </c>
      <c r="E11" s="1">
        <v>0.1</v>
      </c>
      <c r="F11" s="1">
        <v>0.1</v>
      </c>
      <c r="G11" s="1">
        <v>0</v>
      </c>
      <c r="H11" s="1">
        <v>0.1</v>
      </c>
      <c r="I11" s="1">
        <v>0.1</v>
      </c>
      <c r="J11" s="8">
        <f t="shared" si="0"/>
        <v>9.9999999999999992E-2</v>
      </c>
      <c r="K11" s="4">
        <f t="shared" si="1"/>
        <v>0.7</v>
      </c>
    </row>
    <row r="12" spans="2:11" x14ac:dyDescent="0.3">
      <c r="B12" s="3" t="s">
        <v>5</v>
      </c>
      <c r="C12" s="1">
        <v>10.199999999999999</v>
      </c>
      <c r="D12" s="1">
        <v>10.5</v>
      </c>
      <c r="E12" s="1">
        <v>8.75</v>
      </c>
      <c r="F12" s="1">
        <v>6.45</v>
      </c>
      <c r="G12" s="1">
        <v>5.35</v>
      </c>
      <c r="H12" s="1">
        <v>12.8</v>
      </c>
      <c r="I12" s="1">
        <v>14.9</v>
      </c>
      <c r="J12" s="8">
        <f t="shared" si="0"/>
        <v>9.85</v>
      </c>
      <c r="K12" s="4">
        <f t="shared" si="1"/>
        <v>68.95</v>
      </c>
    </row>
    <row r="13" spans="2:11" ht="15" thickBot="1" x14ac:dyDescent="0.35">
      <c r="B13" s="5" t="s">
        <v>6</v>
      </c>
      <c r="C13" s="6">
        <v>0</v>
      </c>
      <c r="D13" s="6">
        <v>0</v>
      </c>
      <c r="E13" s="6">
        <v>0</v>
      </c>
      <c r="F13" s="6">
        <v>0</v>
      </c>
      <c r="G13" s="6">
        <v>0.1</v>
      </c>
      <c r="H13" s="6">
        <v>0.1</v>
      </c>
      <c r="I13" s="6">
        <v>0</v>
      </c>
      <c r="J13" s="10">
        <f t="shared" si="0"/>
        <v>2.8571428571428574E-2</v>
      </c>
      <c r="K13" s="11">
        <f t="shared" si="1"/>
        <v>0.2</v>
      </c>
    </row>
    <row r="14" spans="2:11" ht="15" thickBot="1" x14ac:dyDescent="0.35">
      <c r="J14" s="12" t="s">
        <v>16</v>
      </c>
      <c r="K14" s="13">
        <f>SUM(K8:K13)</f>
        <v>87.45</v>
      </c>
    </row>
    <row r="17" spans="2:3" ht="15" thickBot="1" x14ac:dyDescent="0.35"/>
    <row r="18" spans="2:3" x14ac:dyDescent="0.3">
      <c r="B18" s="19" t="s">
        <v>0</v>
      </c>
      <c r="C18" s="21" t="s">
        <v>17</v>
      </c>
    </row>
    <row r="19" spans="2:3" x14ac:dyDescent="0.3">
      <c r="B19" s="20"/>
      <c r="C19" s="22"/>
    </row>
    <row r="20" spans="2:3" x14ac:dyDescent="0.3">
      <c r="B20" s="3" t="s">
        <v>1</v>
      </c>
      <c r="C20" s="14">
        <f>(K8/$K$14)*100</f>
        <v>8.2332761578044611</v>
      </c>
    </row>
    <row r="21" spans="2:3" x14ac:dyDescent="0.3">
      <c r="B21" s="3" t="s">
        <v>2</v>
      </c>
      <c r="C21" s="14">
        <f t="shared" ref="C21:C25" si="2">(K9/$K$14)*100</f>
        <v>4.2309891366495131</v>
      </c>
    </row>
    <row r="22" spans="2:3" x14ac:dyDescent="0.3">
      <c r="B22" s="3" t="s">
        <v>3</v>
      </c>
      <c r="C22" s="14">
        <f t="shared" si="2"/>
        <v>7.6615208690680392</v>
      </c>
    </row>
    <row r="23" spans="2:3" x14ac:dyDescent="0.3">
      <c r="B23" s="3" t="s">
        <v>4</v>
      </c>
      <c r="C23" s="14">
        <f t="shared" si="2"/>
        <v>0.80045740423098899</v>
      </c>
    </row>
    <row r="24" spans="2:3" x14ac:dyDescent="0.3">
      <c r="B24" s="3" t="s">
        <v>5</v>
      </c>
      <c r="C24" s="14">
        <f t="shared" si="2"/>
        <v>78.845054316752424</v>
      </c>
    </row>
    <row r="25" spans="2:3" ht="15" thickBot="1" x14ac:dyDescent="0.35">
      <c r="B25" s="5" t="s">
        <v>6</v>
      </c>
      <c r="C25" s="15">
        <f t="shared" si="2"/>
        <v>0.22870211549456831</v>
      </c>
    </row>
  </sheetData>
  <mergeCells count="6">
    <mergeCell ref="B4:K5"/>
    <mergeCell ref="B18:B19"/>
    <mergeCell ref="C18:C19"/>
    <mergeCell ref="J6:J7"/>
    <mergeCell ref="K6:K7"/>
    <mergeCell ref="B6:B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90C2-03AB-4F86-BE83-AE9DDD15E931}">
  <dimension ref="A1:H22"/>
  <sheetViews>
    <sheetView tabSelected="1" zoomScaleNormal="100" workbookViewId="0">
      <selection activeCell="L11" sqref="L11"/>
    </sheetView>
  </sheetViews>
  <sheetFormatPr baseColWidth="10" defaultRowHeight="14.4" x14ac:dyDescent="0.3"/>
  <cols>
    <col min="2" max="2" width="11.6640625" bestFit="1" customWidth="1"/>
    <col min="3" max="6" width="10.44140625" bestFit="1" customWidth="1"/>
    <col min="7" max="7" width="10.21875" bestFit="1" customWidth="1"/>
    <col min="8" max="8" width="8" bestFit="1" customWidth="1"/>
  </cols>
  <sheetData>
    <row r="1" spans="1:8" x14ac:dyDescent="0.3">
      <c r="A1" s="28"/>
      <c r="B1" s="29"/>
      <c r="C1" s="29"/>
      <c r="D1" s="29"/>
      <c r="E1" s="29"/>
      <c r="F1" s="29"/>
      <c r="G1" s="29"/>
      <c r="H1" s="30"/>
    </row>
    <row r="2" spans="1:8" x14ac:dyDescent="0.3">
      <c r="A2" s="31"/>
      <c r="B2" s="32"/>
      <c r="C2" s="32"/>
      <c r="D2" s="32"/>
      <c r="E2" s="32"/>
      <c r="F2" s="32"/>
      <c r="G2" s="32"/>
      <c r="H2" s="33"/>
    </row>
    <row r="3" spans="1:8" x14ac:dyDescent="0.3">
      <c r="A3" s="27" t="s">
        <v>0</v>
      </c>
      <c r="B3" s="2" t="s">
        <v>7</v>
      </c>
      <c r="C3" s="2" t="s">
        <v>7</v>
      </c>
      <c r="D3" s="2" t="s">
        <v>7</v>
      </c>
      <c r="E3" s="2" t="s">
        <v>7</v>
      </c>
      <c r="F3" s="2" t="s">
        <v>7</v>
      </c>
      <c r="G3" s="23" t="s">
        <v>15</v>
      </c>
      <c r="H3" s="25" t="s">
        <v>16</v>
      </c>
    </row>
    <row r="4" spans="1:8" x14ac:dyDescent="0.3">
      <c r="A4" s="20"/>
      <c r="B4" s="2" t="s">
        <v>8</v>
      </c>
      <c r="C4" s="2" t="s">
        <v>9</v>
      </c>
      <c r="D4" s="2" t="s">
        <v>10</v>
      </c>
      <c r="E4" s="2" t="s">
        <v>11</v>
      </c>
      <c r="F4" s="2" t="s">
        <v>12</v>
      </c>
      <c r="G4" s="24"/>
      <c r="H4" s="26"/>
    </row>
    <row r="5" spans="1:8" x14ac:dyDescent="0.3">
      <c r="A5" s="3" t="s">
        <v>1</v>
      </c>
      <c r="B5" s="1">
        <v>0.4</v>
      </c>
      <c r="C5" s="1">
        <v>0.6</v>
      </c>
      <c r="D5" s="1">
        <v>1.2</v>
      </c>
      <c r="E5" s="1">
        <v>1.8</v>
      </c>
      <c r="F5" s="1">
        <v>2</v>
      </c>
      <c r="G5" s="8">
        <f>AVERAGE(B5:F5)</f>
        <v>1.2</v>
      </c>
      <c r="H5" s="4">
        <f>SUM(B5:F5)</f>
        <v>6</v>
      </c>
    </row>
    <row r="6" spans="1:8" x14ac:dyDescent="0.3">
      <c r="A6" s="3" t="s">
        <v>2</v>
      </c>
      <c r="B6" s="1">
        <v>1.1000000000000001</v>
      </c>
      <c r="C6" s="1">
        <v>0.4</v>
      </c>
      <c r="D6" s="1">
        <v>0.6</v>
      </c>
      <c r="E6" s="1">
        <v>0.7</v>
      </c>
      <c r="F6" s="1">
        <v>0.4</v>
      </c>
      <c r="G6" s="8">
        <f>AVERAGE(B6:F6)</f>
        <v>0.6399999999999999</v>
      </c>
      <c r="H6" s="4">
        <f>SUM(B6:F6)</f>
        <v>3.1999999999999997</v>
      </c>
    </row>
    <row r="7" spans="1:8" x14ac:dyDescent="0.3">
      <c r="A7" s="3" t="s">
        <v>3</v>
      </c>
      <c r="B7" s="1">
        <v>0.2</v>
      </c>
      <c r="C7" s="1">
        <v>0.7</v>
      </c>
      <c r="D7" s="1">
        <v>0.8</v>
      </c>
      <c r="E7" s="1">
        <v>0.9</v>
      </c>
      <c r="F7" s="1">
        <v>1.1000000000000001</v>
      </c>
      <c r="G7" s="8">
        <f>AVERAGE(B7:F7)</f>
        <v>0.74</v>
      </c>
      <c r="H7" s="4">
        <f>SUM(B7:F7)</f>
        <v>3.7</v>
      </c>
    </row>
    <row r="8" spans="1:8" x14ac:dyDescent="0.3">
      <c r="A8" s="3" t="s">
        <v>4</v>
      </c>
      <c r="B8" s="1">
        <v>0</v>
      </c>
      <c r="C8" s="1">
        <v>0</v>
      </c>
      <c r="D8" s="1">
        <v>0.1</v>
      </c>
      <c r="E8" s="1">
        <v>0.1</v>
      </c>
      <c r="F8" s="1">
        <v>0</v>
      </c>
      <c r="G8" s="8">
        <f>AVERAGE(B8:F8)</f>
        <v>0.04</v>
      </c>
      <c r="H8" s="4">
        <f>SUM(B8:F8)</f>
        <v>0.2</v>
      </c>
    </row>
    <row r="9" spans="1:8" x14ac:dyDescent="0.3">
      <c r="A9" s="3" t="s">
        <v>5</v>
      </c>
      <c r="B9" s="1">
        <v>11.2</v>
      </c>
      <c r="C9" s="1">
        <v>10.5</v>
      </c>
      <c r="D9" s="1">
        <v>13.5</v>
      </c>
      <c r="E9" s="1">
        <v>11.4</v>
      </c>
      <c r="F9" s="1">
        <v>7.85</v>
      </c>
      <c r="G9" s="8">
        <f>AVERAGE(B9:F9)</f>
        <v>10.89</v>
      </c>
      <c r="H9" s="4">
        <f>SUM(B9:F9)</f>
        <v>54.45</v>
      </c>
    </row>
    <row r="10" spans="1:8" ht="15" thickBot="1" x14ac:dyDescent="0.35">
      <c r="A10" s="5" t="s">
        <v>6</v>
      </c>
      <c r="B10" s="6">
        <v>0</v>
      </c>
      <c r="C10" s="6">
        <v>0</v>
      </c>
      <c r="D10" s="6">
        <v>0</v>
      </c>
      <c r="E10" s="6">
        <v>0</v>
      </c>
      <c r="F10" s="6">
        <v>0.1</v>
      </c>
      <c r="G10" s="10">
        <f>AVERAGE(B10:F10)</f>
        <v>0.02</v>
      </c>
      <c r="H10" s="11">
        <f>SUM(B10:F10)</f>
        <v>0.1</v>
      </c>
    </row>
    <row r="11" spans="1:8" ht="15" thickBot="1" x14ac:dyDescent="0.35">
      <c r="G11" s="12" t="s">
        <v>16</v>
      </c>
      <c r="H11" s="13">
        <f>SUM(H5:H10)</f>
        <v>67.649999999999991</v>
      </c>
    </row>
    <row r="14" spans="1:8" ht="15" thickBot="1" x14ac:dyDescent="0.35"/>
    <row r="15" spans="1:8" x14ac:dyDescent="0.3">
      <c r="A15" s="19" t="s">
        <v>0</v>
      </c>
      <c r="B15" s="21" t="s">
        <v>17</v>
      </c>
    </row>
    <row r="16" spans="1:8" x14ac:dyDescent="0.3">
      <c r="A16" s="20"/>
      <c r="B16" s="22"/>
    </row>
    <row r="17" spans="1:2" x14ac:dyDescent="0.3">
      <c r="A17" s="3" t="s">
        <v>1</v>
      </c>
      <c r="B17" s="14">
        <f>(H5/$H$11)*100</f>
        <v>8.8691796008869179</v>
      </c>
    </row>
    <row r="18" spans="1:2" x14ac:dyDescent="0.3">
      <c r="A18" s="3" t="s">
        <v>2</v>
      </c>
      <c r="B18" s="14">
        <f>(H6/$H$11)*100</f>
        <v>4.7302291204730231</v>
      </c>
    </row>
    <row r="19" spans="1:2" x14ac:dyDescent="0.3">
      <c r="A19" s="3" t="s">
        <v>3</v>
      </c>
      <c r="B19" s="14">
        <f t="shared" ref="B19:B22" si="0">(H7/$H$11)*100</f>
        <v>5.469327420546934</v>
      </c>
    </row>
    <row r="20" spans="1:2" x14ac:dyDescent="0.3">
      <c r="A20" s="3" t="s">
        <v>4</v>
      </c>
      <c r="B20" s="14">
        <f t="shared" si="0"/>
        <v>0.295639320029564</v>
      </c>
    </row>
    <row r="21" spans="1:2" x14ac:dyDescent="0.3">
      <c r="A21" s="3" t="s">
        <v>5</v>
      </c>
      <c r="B21" s="14">
        <f>(H9/$H$11)*100</f>
        <v>80.487804878048792</v>
      </c>
    </row>
    <row r="22" spans="1:2" ht="15" thickBot="1" x14ac:dyDescent="0.35">
      <c r="A22" s="5" t="s">
        <v>6</v>
      </c>
      <c r="B22" s="14">
        <f t="shared" si="0"/>
        <v>0.147819660014782</v>
      </c>
    </row>
  </sheetData>
  <mergeCells count="6">
    <mergeCell ref="A1:H2"/>
    <mergeCell ref="A3:A4"/>
    <mergeCell ref="G3:G4"/>
    <mergeCell ref="H3:H4"/>
    <mergeCell ref="A15:A16"/>
    <mergeCell ref="B15:B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7813D-6603-4748-92FF-D0934190F61D}">
  <dimension ref="B4:K26"/>
  <sheetViews>
    <sheetView zoomScale="70" zoomScaleNormal="70" workbookViewId="0">
      <selection activeCell="D38" sqref="D38"/>
    </sheetView>
  </sheetViews>
  <sheetFormatPr baseColWidth="10" defaultRowHeight="14.4" x14ac:dyDescent="0.3"/>
  <cols>
    <col min="3" max="3" width="10.44140625" bestFit="1" customWidth="1"/>
    <col min="4" max="9" width="9" bestFit="1" customWidth="1"/>
    <col min="10" max="10" width="9.44140625" bestFit="1" customWidth="1"/>
    <col min="11" max="11" width="6.33203125" bestFit="1" customWidth="1"/>
  </cols>
  <sheetData>
    <row r="4" spans="2:11" ht="15" thickBot="1" x14ac:dyDescent="0.35"/>
    <row r="5" spans="2:11" x14ac:dyDescent="0.3">
      <c r="B5" s="28"/>
      <c r="C5" s="29"/>
      <c r="D5" s="29"/>
      <c r="E5" s="29"/>
      <c r="F5" s="29"/>
      <c r="G5" s="29"/>
      <c r="H5" s="29"/>
      <c r="I5" s="29"/>
      <c r="J5" s="29"/>
      <c r="K5" s="30"/>
    </row>
    <row r="6" spans="2:11" x14ac:dyDescent="0.3">
      <c r="B6" s="31"/>
      <c r="C6" s="32"/>
      <c r="D6" s="32"/>
      <c r="E6" s="32"/>
      <c r="F6" s="32"/>
      <c r="G6" s="32"/>
      <c r="H6" s="32"/>
      <c r="I6" s="32"/>
      <c r="J6" s="32"/>
      <c r="K6" s="33"/>
    </row>
    <row r="7" spans="2:11" x14ac:dyDescent="0.3">
      <c r="B7" s="27" t="s">
        <v>0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3" t="s">
        <v>15</v>
      </c>
      <c r="K7" s="25" t="s">
        <v>16</v>
      </c>
    </row>
    <row r="8" spans="2:11" x14ac:dyDescent="0.3">
      <c r="B8" s="20"/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4"/>
      <c r="K8" s="26"/>
    </row>
    <row r="9" spans="2:11" x14ac:dyDescent="0.3">
      <c r="B9" s="3" t="s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8">
        <f>AVERAGE(C9:I9)</f>
        <v>0</v>
      </c>
      <c r="K9" s="4">
        <f>SUM(C9:I9)</f>
        <v>0</v>
      </c>
    </row>
    <row r="10" spans="2:11" x14ac:dyDescent="0.3">
      <c r="B10" s="3" t="s">
        <v>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8">
        <f t="shared" ref="J10:J14" si="0">AVERAGE(C10:I10)</f>
        <v>0</v>
      </c>
      <c r="K10" s="4">
        <f t="shared" ref="K10:K14" si="1">SUM(C10:I10)</f>
        <v>0</v>
      </c>
    </row>
    <row r="11" spans="2:11" x14ac:dyDescent="0.3">
      <c r="B11" s="3" t="s">
        <v>3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8">
        <f t="shared" si="0"/>
        <v>0</v>
      </c>
      <c r="K11" s="4">
        <f t="shared" si="1"/>
        <v>0</v>
      </c>
    </row>
    <row r="12" spans="2:11" x14ac:dyDescent="0.3">
      <c r="B12" s="3" t="s">
        <v>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8">
        <f t="shared" si="0"/>
        <v>0</v>
      </c>
      <c r="K12" s="4">
        <f t="shared" si="1"/>
        <v>0</v>
      </c>
    </row>
    <row r="13" spans="2:11" x14ac:dyDescent="0.3">
      <c r="B13" s="3" t="s">
        <v>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8">
        <f t="shared" si="0"/>
        <v>0</v>
      </c>
      <c r="K13" s="4">
        <f t="shared" si="1"/>
        <v>0</v>
      </c>
    </row>
    <row r="14" spans="2:11" ht="15" thickBot="1" x14ac:dyDescent="0.35">
      <c r="B14" s="5" t="s">
        <v>6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9">
        <f t="shared" si="0"/>
        <v>0</v>
      </c>
      <c r="K14" s="7">
        <f t="shared" si="1"/>
        <v>0</v>
      </c>
    </row>
    <row r="15" spans="2:11" ht="15" thickBot="1" x14ac:dyDescent="0.35">
      <c r="J15" s="16" t="s">
        <v>16</v>
      </c>
      <c r="K15" s="17">
        <f>SUM(K9:K14)</f>
        <v>0</v>
      </c>
    </row>
    <row r="18" spans="2:3" ht="15" thickBot="1" x14ac:dyDescent="0.35"/>
    <row r="19" spans="2:3" x14ac:dyDescent="0.3">
      <c r="B19" s="19" t="s">
        <v>0</v>
      </c>
      <c r="C19" s="21" t="s">
        <v>17</v>
      </c>
    </row>
    <row r="20" spans="2:3" x14ac:dyDescent="0.3">
      <c r="B20" s="20"/>
      <c r="C20" s="22"/>
    </row>
    <row r="21" spans="2:3" x14ac:dyDescent="0.3">
      <c r="B21" s="3" t="s">
        <v>1</v>
      </c>
      <c r="C21" s="14" t="e">
        <f>(K9/$K$14)*100</f>
        <v>#DIV/0!</v>
      </c>
    </row>
    <row r="22" spans="2:3" x14ac:dyDescent="0.3">
      <c r="B22" s="3" t="s">
        <v>2</v>
      </c>
      <c r="C22" s="14" t="e">
        <f t="shared" ref="C22:C26" si="2">(K10/$K$14)*100</f>
        <v>#DIV/0!</v>
      </c>
    </row>
    <row r="23" spans="2:3" x14ac:dyDescent="0.3">
      <c r="B23" s="3" t="s">
        <v>3</v>
      </c>
      <c r="C23" s="14" t="e">
        <f t="shared" si="2"/>
        <v>#DIV/0!</v>
      </c>
    </row>
    <row r="24" spans="2:3" x14ac:dyDescent="0.3">
      <c r="B24" s="3" t="s">
        <v>4</v>
      </c>
      <c r="C24" s="14" t="e">
        <f t="shared" si="2"/>
        <v>#DIV/0!</v>
      </c>
    </row>
    <row r="25" spans="2:3" x14ac:dyDescent="0.3">
      <c r="B25" s="3" t="s">
        <v>5</v>
      </c>
      <c r="C25" s="14" t="e">
        <f t="shared" si="2"/>
        <v>#DIV/0!</v>
      </c>
    </row>
    <row r="26" spans="2:3" ht="15" thickBot="1" x14ac:dyDescent="0.35">
      <c r="B26" s="5" t="s">
        <v>6</v>
      </c>
      <c r="C26" s="15" t="e">
        <f t="shared" si="2"/>
        <v>#DIV/0!</v>
      </c>
    </row>
  </sheetData>
  <mergeCells count="6">
    <mergeCell ref="B5:K6"/>
    <mergeCell ref="B7:B8"/>
    <mergeCell ref="J7:J8"/>
    <mergeCell ref="K7:K8"/>
    <mergeCell ref="B19:B20"/>
    <mergeCell ref="C19:C2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C62F1-1995-47B3-A28A-6E50DDC9E60B}">
  <dimension ref="B4:K26"/>
  <sheetViews>
    <sheetView topLeftCell="B4" zoomScale="85" zoomScaleNormal="85" workbookViewId="0">
      <selection activeCell="Q20" sqref="Q20"/>
    </sheetView>
  </sheetViews>
  <sheetFormatPr baseColWidth="10" defaultRowHeight="14.4" x14ac:dyDescent="0.3"/>
  <cols>
    <col min="3" max="3" width="9.88671875" bestFit="1" customWidth="1"/>
    <col min="4" max="10" width="8.88671875" bestFit="1" customWidth="1"/>
    <col min="11" max="11" width="6.5546875" bestFit="1" customWidth="1"/>
  </cols>
  <sheetData>
    <row r="4" spans="2:11" ht="15" thickBot="1" x14ac:dyDescent="0.35"/>
    <row r="5" spans="2:11" x14ac:dyDescent="0.3">
      <c r="B5" s="28"/>
      <c r="C5" s="29"/>
      <c r="D5" s="29"/>
      <c r="E5" s="29"/>
      <c r="F5" s="29"/>
      <c r="G5" s="29"/>
      <c r="H5" s="29"/>
      <c r="I5" s="29"/>
      <c r="J5" s="29"/>
      <c r="K5" s="30"/>
    </row>
    <row r="6" spans="2:11" x14ac:dyDescent="0.3">
      <c r="B6" s="31"/>
      <c r="C6" s="32"/>
      <c r="D6" s="32"/>
      <c r="E6" s="32"/>
      <c r="F6" s="32"/>
      <c r="G6" s="32"/>
      <c r="H6" s="32"/>
      <c r="I6" s="32"/>
      <c r="J6" s="32"/>
      <c r="K6" s="33"/>
    </row>
    <row r="7" spans="2:11" x14ac:dyDescent="0.3">
      <c r="B7" s="27" t="s">
        <v>0</v>
      </c>
      <c r="C7" s="2" t="s">
        <v>7</v>
      </c>
      <c r="D7" s="2" t="s">
        <v>7</v>
      </c>
      <c r="E7" s="2" t="s">
        <v>7</v>
      </c>
      <c r="F7" s="2" t="s">
        <v>7</v>
      </c>
      <c r="G7" s="2" t="s">
        <v>7</v>
      </c>
      <c r="H7" s="2" t="s">
        <v>7</v>
      </c>
      <c r="I7" s="2" t="s">
        <v>7</v>
      </c>
      <c r="J7" s="23" t="s">
        <v>15</v>
      </c>
      <c r="K7" s="25" t="s">
        <v>16</v>
      </c>
    </row>
    <row r="8" spans="2:11" x14ac:dyDescent="0.3">
      <c r="B8" s="20"/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4"/>
      <c r="K8" s="26"/>
    </row>
    <row r="9" spans="2:11" x14ac:dyDescent="0.3">
      <c r="B9" s="3" t="s">
        <v>1</v>
      </c>
      <c r="C9" s="1">
        <v>1</v>
      </c>
      <c r="D9" s="1">
        <v>1.1000000000000001</v>
      </c>
      <c r="E9" s="1">
        <v>0.8</v>
      </c>
      <c r="F9" s="1">
        <v>0.4</v>
      </c>
      <c r="G9" s="1">
        <v>0.6</v>
      </c>
      <c r="H9" s="1">
        <v>1.5</v>
      </c>
      <c r="I9" s="1">
        <v>1.6</v>
      </c>
      <c r="J9" s="8">
        <f>AVERAGE(C9:I9)</f>
        <v>1</v>
      </c>
      <c r="K9" s="4">
        <f>SUM(C9:I9)</f>
        <v>7</v>
      </c>
    </row>
    <row r="10" spans="2:11" ht="28.8" x14ac:dyDescent="0.3">
      <c r="B10" s="18" t="s">
        <v>2</v>
      </c>
      <c r="C10" s="1">
        <v>1</v>
      </c>
      <c r="D10" s="1">
        <v>0.2</v>
      </c>
      <c r="E10" s="1">
        <v>0.5</v>
      </c>
      <c r="F10" s="1">
        <v>0.8</v>
      </c>
      <c r="G10" s="1">
        <v>1.2</v>
      </c>
      <c r="H10" s="1">
        <v>1</v>
      </c>
      <c r="I10" s="1">
        <v>1.3</v>
      </c>
      <c r="J10" s="8">
        <f t="shared" ref="J10:J14" si="0">AVERAGE(C10:I10)</f>
        <v>0.8571428571428571</v>
      </c>
      <c r="K10" s="4">
        <f t="shared" ref="K10:K14" si="1">SUM(C10:I10)</f>
        <v>6</v>
      </c>
    </row>
    <row r="11" spans="2:11" x14ac:dyDescent="0.3">
      <c r="B11" s="3" t="s">
        <v>3</v>
      </c>
      <c r="C11" s="1">
        <v>0.1</v>
      </c>
      <c r="D11" s="1">
        <v>0.2</v>
      </c>
      <c r="E11" s="1">
        <v>0.2</v>
      </c>
      <c r="F11" s="1">
        <v>0.8</v>
      </c>
      <c r="G11" s="1">
        <v>0.7</v>
      </c>
      <c r="H11" s="1">
        <v>0.4</v>
      </c>
      <c r="I11" s="1">
        <v>0.4</v>
      </c>
      <c r="J11" s="8">
        <f t="shared" si="0"/>
        <v>0.39999999999999997</v>
      </c>
      <c r="K11" s="4">
        <f t="shared" si="1"/>
        <v>2.8</v>
      </c>
    </row>
    <row r="12" spans="2:11" x14ac:dyDescent="0.3">
      <c r="B12" s="3" t="s">
        <v>4</v>
      </c>
      <c r="C12" s="1">
        <v>0</v>
      </c>
      <c r="D12" s="1">
        <v>0.2</v>
      </c>
      <c r="E12" s="1">
        <v>0.1</v>
      </c>
      <c r="F12" s="1">
        <v>0.1</v>
      </c>
      <c r="G12" s="1">
        <v>0</v>
      </c>
      <c r="H12" s="1">
        <v>0.1</v>
      </c>
      <c r="I12" s="1">
        <v>0.4</v>
      </c>
      <c r="J12" s="8">
        <f t="shared" si="0"/>
        <v>0.12857142857142859</v>
      </c>
      <c r="K12" s="4">
        <f t="shared" si="1"/>
        <v>0.9</v>
      </c>
    </row>
    <row r="13" spans="2:11" x14ac:dyDescent="0.3">
      <c r="B13" s="3" t="s">
        <v>5</v>
      </c>
      <c r="C13" s="1">
        <v>12.4</v>
      </c>
      <c r="D13" s="1">
        <v>11.8</v>
      </c>
      <c r="E13" s="1">
        <v>14.8</v>
      </c>
      <c r="F13" s="1">
        <v>11.5</v>
      </c>
      <c r="G13" s="1">
        <v>14.5</v>
      </c>
      <c r="H13" s="1">
        <v>11.4</v>
      </c>
      <c r="I13" s="1">
        <v>5.35</v>
      </c>
      <c r="J13" s="8">
        <f t="shared" si="0"/>
        <v>11.678571428571429</v>
      </c>
      <c r="K13" s="4">
        <f t="shared" si="1"/>
        <v>81.75</v>
      </c>
    </row>
    <row r="14" spans="2:11" ht="15" thickBot="1" x14ac:dyDescent="0.35">
      <c r="B14" s="5" t="s">
        <v>6</v>
      </c>
      <c r="C14" s="6">
        <v>0</v>
      </c>
      <c r="D14" s="6">
        <v>0</v>
      </c>
      <c r="E14" s="6">
        <v>0</v>
      </c>
      <c r="F14" s="6">
        <v>0</v>
      </c>
      <c r="G14" s="6">
        <v>0.1</v>
      </c>
      <c r="H14" s="6">
        <v>0.1</v>
      </c>
      <c r="I14" s="6">
        <v>0</v>
      </c>
      <c r="J14" s="10">
        <f t="shared" si="0"/>
        <v>2.8571428571428574E-2</v>
      </c>
      <c r="K14" s="11">
        <f t="shared" si="1"/>
        <v>0.2</v>
      </c>
    </row>
    <row r="15" spans="2:11" ht="15" thickBot="1" x14ac:dyDescent="0.35">
      <c r="J15" s="12" t="s">
        <v>16</v>
      </c>
      <c r="K15" s="13">
        <f>SUM(K9:K14)</f>
        <v>98.65</v>
      </c>
    </row>
    <row r="18" spans="2:3" ht="15" thickBot="1" x14ac:dyDescent="0.35"/>
    <row r="19" spans="2:3" x14ac:dyDescent="0.3">
      <c r="B19" s="19" t="s">
        <v>0</v>
      </c>
      <c r="C19" s="21" t="s">
        <v>17</v>
      </c>
    </row>
    <row r="20" spans="2:3" x14ac:dyDescent="0.3">
      <c r="B20" s="20"/>
      <c r="C20" s="22"/>
    </row>
    <row r="21" spans="2:3" x14ac:dyDescent="0.3">
      <c r="B21" s="3" t="s">
        <v>1</v>
      </c>
      <c r="C21" s="14">
        <f>(K9/$K$15)*100</f>
        <v>7.0957932083122151</v>
      </c>
    </row>
    <row r="22" spans="2:3" x14ac:dyDescent="0.3">
      <c r="B22" s="3" t="s">
        <v>2</v>
      </c>
      <c r="C22" s="14">
        <f t="shared" ref="C22:C26" si="2">(K10/$K$15)*100</f>
        <v>6.0821084642676126</v>
      </c>
    </row>
    <row r="23" spans="2:3" x14ac:dyDescent="0.3">
      <c r="B23" s="3" t="s">
        <v>3</v>
      </c>
      <c r="C23" s="14">
        <f t="shared" si="2"/>
        <v>2.8383172833248858</v>
      </c>
    </row>
    <row r="24" spans="2:3" x14ac:dyDescent="0.3">
      <c r="B24" s="3" t="s">
        <v>4</v>
      </c>
      <c r="C24" s="14">
        <f t="shared" si="2"/>
        <v>0.91231626964014179</v>
      </c>
    </row>
    <row r="25" spans="2:3" x14ac:dyDescent="0.3">
      <c r="B25" s="3" t="s">
        <v>5</v>
      </c>
      <c r="C25" s="14">
        <f t="shared" si="2"/>
        <v>82.868727825646218</v>
      </c>
    </row>
    <row r="26" spans="2:3" ht="15" thickBot="1" x14ac:dyDescent="0.35">
      <c r="B26" s="5" t="s">
        <v>6</v>
      </c>
      <c r="C26" s="14">
        <f t="shared" si="2"/>
        <v>0.20273694880892043</v>
      </c>
    </row>
  </sheetData>
  <mergeCells count="6">
    <mergeCell ref="B5:K6"/>
    <mergeCell ref="B7:B8"/>
    <mergeCell ref="J7:J8"/>
    <mergeCell ref="K7:K8"/>
    <mergeCell ref="B19:B20"/>
    <mergeCell ref="C19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AMAZONICO</vt:lpstr>
      <vt:lpstr>MUMI</vt:lpstr>
      <vt:lpstr>KATALA</vt:lpstr>
      <vt:lpstr>UMARI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marin</dc:creator>
  <cp:lastModifiedBy>DARCY YAMILE DURAN ACOSTA</cp:lastModifiedBy>
  <dcterms:created xsi:type="dcterms:W3CDTF">2024-06-28T11:00:12Z</dcterms:created>
  <dcterms:modified xsi:type="dcterms:W3CDTF">2024-07-04T22:48:41Z</dcterms:modified>
</cp:coreProperties>
</file>