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GON\Downloads\MUMI\Gestión ambiental\ASOCIACIÓN PARA EL EMPRENDIMIENTO INNOVADOR DEL GUAVIARE\ENTREGABLES\ADEMI\"/>
    </mc:Choice>
  </mc:AlternateContent>
  <xr:revisionPtr revIDLastSave="0" documentId="13_ncr:1_{019C156A-0F01-4380-869F-C13921E4B307}" xr6:coauthVersionLast="47" xr6:coauthVersionMax="47" xr10:uidLastSave="{00000000-0000-0000-0000-000000000000}"/>
  <bookViews>
    <workbookView xWindow="-108" yWindow="-108" windowWidth="23256" windowHeight="12456" xr2:uid="{7CAFE311-9183-468F-8327-23BBC9EAAF57}"/>
  </bookViews>
  <sheets>
    <sheet name="Ficha Control" sheetId="1" r:id="rId1"/>
    <sheet name="Total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8" i="3"/>
  <c r="E7" i="3"/>
  <c r="E13" i="3" l="1"/>
</calcChain>
</file>

<file path=xl/sharedStrings.xml><?xml version="1.0" encoding="utf-8"?>
<sst xmlns="http://schemas.openxmlformats.org/spreadsheetml/2006/main" count="111" uniqueCount="75">
  <si>
    <t xml:space="preserve">CUMPLE </t>
  </si>
  <si>
    <t>OBSERVACIONES</t>
  </si>
  <si>
    <t>SI</t>
  </si>
  <si>
    <t>NO</t>
  </si>
  <si>
    <r>
      <t xml:space="preserve">Nota: </t>
    </r>
    <r>
      <rPr>
        <i/>
        <sz val="11"/>
        <color theme="1"/>
        <rFont val="Calibri"/>
        <family val="2"/>
        <scheme val="minor"/>
      </rPr>
      <t>El seguimiento deberá realizarse por la Representante Legal, en acompañamiento de un profesional ambiental (De ser necesario)</t>
    </r>
  </si>
  <si>
    <t>Fecha:</t>
  </si>
  <si>
    <t>Versión:</t>
  </si>
  <si>
    <t>CONTROL Y SEGUIMIENTO A LAS BUENAS PRÁCTICAS AMBIENTALES Y GESTIÓN AMBIENTAL</t>
  </si>
  <si>
    <t>NOMBRE DE LA UNIDAD PRODUCTIVA</t>
  </si>
  <si>
    <t>Fecha de Verificación e inspección</t>
  </si>
  <si>
    <t>Alcance de la Ficha</t>
  </si>
  <si>
    <t>Realizar un seguimiento a la gestión ambiental que esta realizando la Unidad Productiva, con la finalidad de verificar y proponer alternativas de mejora</t>
  </si>
  <si>
    <t>ASPECTOS A EVALUAR</t>
  </si>
  <si>
    <t xml:space="preserve">SI </t>
  </si>
  <si>
    <t>PUNTAJE</t>
  </si>
  <si>
    <t>1. ASPECTO GENERALES</t>
  </si>
  <si>
    <t>Se tiene establecido un sistema para el manejo ambiental</t>
  </si>
  <si>
    <t>Cuentan con un sistema de manejo ambiental</t>
  </si>
  <si>
    <t>Existen mecanismo que permitan determinar los riesgos que se puedan presentar en la Unidad Productiva derivados de actividades de la gestión ambiental</t>
  </si>
  <si>
    <t>Existen sistemas de ventilación</t>
  </si>
  <si>
    <t>Permite el Ingreso de la Luz Solar</t>
  </si>
  <si>
    <t>Iluminación arttificial</t>
  </si>
  <si>
    <t>Cuenta con bombillos ahorradores y de bajo consumo</t>
  </si>
  <si>
    <t>Cuando los equipos no estan en uso los desconecta</t>
  </si>
  <si>
    <t xml:space="preserve">Los equipos de refrigeración cuentan con la etiqueta de bajo consumo </t>
  </si>
  <si>
    <t>2. CALIDAD DEL AIRE E ILUMINACIÓN</t>
  </si>
  <si>
    <t>3. PAPEL</t>
  </si>
  <si>
    <t>Hacen reúso de papel</t>
  </si>
  <si>
    <t>Reducen las impresiones para reducir el consumo de papel</t>
  </si>
  <si>
    <t>4. AGUA</t>
  </si>
  <si>
    <t>El agua que se usa es potable</t>
  </si>
  <si>
    <t>Dispone de un tanque de agua con capacidad suficiente para su producción</t>
  </si>
  <si>
    <t xml:space="preserve">Minimiza el consumo del agua para el lavado y mantenimiento fisico de los equipos </t>
  </si>
  <si>
    <t>5. DESCARGAS LÍQUIDAS</t>
  </si>
  <si>
    <t>Existe un manejo adecuado de los aceites que se puedan derivar de la actividad o de los equipos de producción</t>
  </si>
  <si>
    <t>Cuentan con manejo de residuos líquidos</t>
  </si>
  <si>
    <t>Conoce donde se realiza la disposición de las aguas residuales</t>
  </si>
  <si>
    <t xml:space="preserve">Cuenta con la adecuación del sistema de alcantarillado de Municipio </t>
  </si>
  <si>
    <t xml:space="preserve">Solicita inspección a la Red de Alcantarillado del Municipio </t>
  </si>
  <si>
    <t>6. Generación de Residuos</t>
  </si>
  <si>
    <t xml:space="preserve">Cuenta con PMIRS </t>
  </si>
  <si>
    <t>Cuenta con los recipientes para disponer cada residuo</t>
  </si>
  <si>
    <t xml:space="preserve">Cuenta con señalización interna para la recolección de los residuos </t>
  </si>
  <si>
    <t xml:space="preserve">Los recipientes se en encuentran con rotulo para clasificar los residuos </t>
  </si>
  <si>
    <t>Utilizan protección para la recolección de los residuos</t>
  </si>
  <si>
    <t>Todas las áreas se encuentran limpias y organizadas</t>
  </si>
  <si>
    <t>Realizan separación en la fuente</t>
  </si>
  <si>
    <t>Disponen los residuos en recipientes hasta la recolección por parte de la empresa prestadora de servicio de aseo del Municipio</t>
  </si>
  <si>
    <t xml:space="preserve">NO </t>
  </si>
  <si>
    <t>AMAZONICO</t>
  </si>
  <si>
    <t>KATALA</t>
  </si>
  <si>
    <t>UMARI</t>
  </si>
  <si>
    <t>Puntaje</t>
  </si>
  <si>
    <t>No cuenta con información o con aplicación del ítem</t>
  </si>
  <si>
    <t>Cuenta, pero no aplica lo establecido en el ítem</t>
  </si>
  <si>
    <t>Cuenta y aplica lo establecido en el ítem</t>
  </si>
  <si>
    <t>6. GENERACIÓN DE RESIDUOS</t>
  </si>
  <si>
    <t>VERIFICACIÓN GESTIÓN AMBIENTAL</t>
  </si>
  <si>
    <t>%CUMPLIMIENTO</t>
  </si>
  <si>
    <t>TOTAL</t>
  </si>
  <si>
    <t>RANGOS</t>
  </si>
  <si>
    <t>CALIFICACIÓN</t>
  </si>
  <si>
    <t>Inferior a 30%</t>
  </si>
  <si>
    <t>Entre 30 y 50%</t>
  </si>
  <si>
    <t>Entre 50 y 70%</t>
  </si>
  <si>
    <t>Entre 70 y 90%</t>
  </si>
  <si>
    <t>Critico</t>
  </si>
  <si>
    <t>Bajo</t>
  </si>
  <si>
    <t>Media</t>
  </si>
  <si>
    <t xml:space="preserve">Bueno </t>
  </si>
  <si>
    <t>Ideal</t>
  </si>
  <si>
    <t>Superior a 90%</t>
  </si>
  <si>
    <t>MUMI AMAZONIA</t>
  </si>
  <si>
    <t>Dentro de la Unidad Productiva se ha realizado capacitación sobre la normatividad ambiental vigente en el país</t>
  </si>
  <si>
    <t xml:space="preserve">Existe un programa destinado al manejo de los residuos orgánicos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</si>
</sst>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justify" wrapText="1"/>
    </xf>
    <xf numFmtId="0" fontId="0" fillId="0" borderId="1" xfId="0" applyFill="1" applyBorder="1" applyAlignment="1">
      <alignment horizontal="justify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justify" vertical="center" wrapText="1"/>
    </xf>
    <xf numFmtId="0" fontId="0" fillId="0" borderId="6" xfId="0" applyBorder="1"/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justify" wrapText="1"/>
    </xf>
    <xf numFmtId="0" fontId="0" fillId="0" borderId="9" xfId="0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 wrapText="1"/>
    </xf>
    <xf numFmtId="0" fontId="0" fillId="0" borderId="4" xfId="0" applyBorder="1"/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justify" wrapText="1"/>
    </xf>
    <xf numFmtId="0" fontId="0" fillId="0" borderId="6" xfId="0" applyBorder="1" applyAlignment="1">
      <alignment horizontal="justify" wrapText="1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justify" wrapText="1"/>
    </xf>
    <xf numFmtId="0" fontId="0" fillId="2" borderId="1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1</xdr:row>
      <xdr:rowOff>129540</xdr:rowOff>
    </xdr:from>
    <xdr:to>
      <xdr:col>2</xdr:col>
      <xdr:colOff>689833</xdr:colOff>
      <xdr:row>4</xdr:row>
      <xdr:rowOff>42582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E79851F3-E918-482C-BC4B-924888243F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312420"/>
          <a:ext cx="1169893" cy="4693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2240280</xdr:colOff>
      <xdr:row>1</xdr:row>
      <xdr:rowOff>167640</xdr:rowOff>
    </xdr:from>
    <xdr:to>
      <xdr:col>4</xdr:col>
      <xdr:colOff>335280</xdr:colOff>
      <xdr:row>3</xdr:row>
      <xdr:rowOff>172122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0A81BA4C-4900-4AC7-85B9-5AA0A0C8DF7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350520"/>
          <a:ext cx="952500" cy="3778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701040</xdr:colOff>
      <xdr:row>2</xdr:row>
      <xdr:rowOff>137160</xdr:rowOff>
    </xdr:from>
    <xdr:to>
      <xdr:col>2</xdr:col>
      <xdr:colOff>156433</xdr:colOff>
      <xdr:row>5</xdr:row>
      <xdr:rowOff>57822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3309CF22-5C97-4160-80F8-AA39A86054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502920"/>
          <a:ext cx="1169893" cy="4769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434340</xdr:colOff>
      <xdr:row>3</xdr:row>
      <xdr:rowOff>0</xdr:rowOff>
    </xdr:from>
    <xdr:to>
      <xdr:col>3</xdr:col>
      <xdr:colOff>525780</xdr:colOff>
      <xdr:row>5</xdr:row>
      <xdr:rowOff>19722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5369BB77-4862-4EBF-80B7-58FD0A90C95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556260"/>
          <a:ext cx="952500" cy="3854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5017-9E0D-4972-897A-5D2AE8E9F666}">
  <dimension ref="B2:H53"/>
  <sheetViews>
    <sheetView tabSelected="1" topLeftCell="B41" workbookViewId="0">
      <selection activeCell="H46" sqref="H46"/>
    </sheetView>
  </sheetViews>
  <sheetFormatPr baseColWidth="10" defaultRowHeight="14.4" x14ac:dyDescent="0.3"/>
  <cols>
    <col min="2" max="2" width="6.88671875" customWidth="1"/>
    <col min="3" max="3" width="35.5546875" customWidth="1"/>
    <col min="4" max="4" width="6.109375" customWidth="1"/>
    <col min="5" max="5" width="5.5546875" customWidth="1"/>
  </cols>
  <sheetData>
    <row r="2" spans="2:8" ht="15" thickBot="1" x14ac:dyDescent="0.35"/>
    <row r="3" spans="2:8" x14ac:dyDescent="0.3">
      <c r="B3" s="42"/>
      <c r="C3" s="43"/>
      <c r="D3" s="43"/>
      <c r="E3" s="43"/>
      <c r="F3" s="3" t="s">
        <v>5</v>
      </c>
      <c r="G3" s="46"/>
      <c r="H3" s="47"/>
    </row>
    <row r="4" spans="2:8" x14ac:dyDescent="0.3">
      <c r="B4" s="44"/>
      <c r="C4" s="45"/>
      <c r="D4" s="45"/>
      <c r="E4" s="45"/>
      <c r="F4" s="1" t="s">
        <v>6</v>
      </c>
      <c r="G4" s="37">
        <v>1</v>
      </c>
      <c r="H4" s="38"/>
    </row>
    <row r="5" spans="2:8" x14ac:dyDescent="0.3">
      <c r="B5" s="39" t="s">
        <v>7</v>
      </c>
      <c r="C5" s="40"/>
      <c r="D5" s="40"/>
      <c r="E5" s="40"/>
      <c r="F5" s="40"/>
      <c r="G5" s="40"/>
      <c r="H5" s="41"/>
    </row>
    <row r="6" spans="2:8" x14ac:dyDescent="0.3">
      <c r="B6" s="50" t="s">
        <v>8</v>
      </c>
      <c r="C6" s="48"/>
      <c r="D6" s="48"/>
      <c r="E6" s="48"/>
      <c r="F6" s="48"/>
      <c r="G6" s="48"/>
      <c r="H6" s="49"/>
    </row>
    <row r="7" spans="2:8" x14ac:dyDescent="0.3">
      <c r="B7" s="50"/>
      <c r="C7" s="48"/>
      <c r="D7" s="48"/>
      <c r="E7" s="48"/>
      <c r="F7" s="48"/>
      <c r="G7" s="48"/>
      <c r="H7" s="49"/>
    </row>
    <row r="8" spans="2:8" x14ac:dyDescent="0.3">
      <c r="B8" s="50" t="s">
        <v>9</v>
      </c>
      <c r="C8" s="48"/>
      <c r="D8" s="45"/>
      <c r="E8" s="45"/>
      <c r="F8" s="45"/>
      <c r="G8" s="45"/>
      <c r="H8" s="51"/>
    </row>
    <row r="9" spans="2:8" ht="46.2" customHeight="1" x14ac:dyDescent="0.3">
      <c r="B9" s="50" t="s">
        <v>10</v>
      </c>
      <c r="C9" s="48"/>
      <c r="D9" s="52" t="s">
        <v>11</v>
      </c>
      <c r="E9" s="52"/>
      <c r="F9" s="52"/>
      <c r="G9" s="52"/>
      <c r="H9" s="53"/>
    </row>
    <row r="10" spans="2:8" x14ac:dyDescent="0.3">
      <c r="B10" s="65" t="s">
        <v>12</v>
      </c>
      <c r="C10" s="66"/>
      <c r="D10" s="40" t="s">
        <v>0</v>
      </c>
      <c r="E10" s="40"/>
      <c r="F10" s="56" t="s">
        <v>1</v>
      </c>
      <c r="G10" s="57"/>
      <c r="H10" s="60" t="s">
        <v>14</v>
      </c>
    </row>
    <row r="11" spans="2:8" x14ac:dyDescent="0.3">
      <c r="B11" s="65"/>
      <c r="C11" s="66"/>
      <c r="D11" s="6" t="s">
        <v>13</v>
      </c>
      <c r="E11" s="6" t="s">
        <v>3</v>
      </c>
      <c r="F11" s="58"/>
      <c r="G11" s="59"/>
      <c r="H11" s="61"/>
    </row>
    <row r="12" spans="2:8" x14ac:dyDescent="0.3">
      <c r="B12" s="67" t="s">
        <v>15</v>
      </c>
      <c r="C12" s="68"/>
      <c r="D12" s="68"/>
      <c r="E12" s="68"/>
      <c r="F12" s="68"/>
      <c r="G12" s="68"/>
      <c r="H12" s="69"/>
    </row>
    <row r="13" spans="2:8" ht="28.2" customHeight="1" x14ac:dyDescent="0.3">
      <c r="B13" s="5">
        <v>1.1000000000000001</v>
      </c>
      <c r="C13" s="7" t="s">
        <v>16</v>
      </c>
      <c r="D13" s="54" t="s">
        <v>2</v>
      </c>
      <c r="E13" s="55"/>
      <c r="F13" s="54"/>
      <c r="G13" s="55"/>
      <c r="H13" s="11">
        <v>1</v>
      </c>
    </row>
    <row r="14" spans="2:8" ht="28.8" x14ac:dyDescent="0.3">
      <c r="B14" s="5">
        <v>1.2</v>
      </c>
      <c r="C14" s="7" t="s">
        <v>17</v>
      </c>
      <c r="D14" s="54" t="s">
        <v>2</v>
      </c>
      <c r="E14" s="55"/>
      <c r="F14" s="54"/>
      <c r="G14" s="55"/>
      <c r="H14" s="11">
        <v>1</v>
      </c>
    </row>
    <row r="15" spans="2:8" ht="72" x14ac:dyDescent="0.3">
      <c r="B15" s="5">
        <v>1.3</v>
      </c>
      <c r="C15" s="7" t="s">
        <v>18</v>
      </c>
      <c r="D15" s="54" t="s">
        <v>48</v>
      </c>
      <c r="E15" s="55"/>
      <c r="F15" s="54"/>
      <c r="G15" s="55"/>
      <c r="H15" s="11">
        <v>0</v>
      </c>
    </row>
    <row r="16" spans="2:8" ht="43.2" x14ac:dyDescent="0.3">
      <c r="B16" s="5">
        <v>1.4</v>
      </c>
      <c r="C16" s="7" t="s">
        <v>73</v>
      </c>
      <c r="D16" s="54" t="s">
        <v>48</v>
      </c>
      <c r="E16" s="55"/>
      <c r="F16" s="54"/>
      <c r="G16" s="55"/>
      <c r="H16" s="11">
        <v>0</v>
      </c>
    </row>
    <row r="17" spans="2:8" x14ac:dyDescent="0.3">
      <c r="B17" s="62" t="s">
        <v>25</v>
      </c>
      <c r="C17" s="63"/>
      <c r="D17" s="63"/>
      <c r="E17" s="63"/>
      <c r="F17" s="63"/>
      <c r="G17" s="63"/>
      <c r="H17" s="64"/>
    </row>
    <row r="18" spans="2:8" x14ac:dyDescent="0.3">
      <c r="B18" s="12">
        <v>2.1</v>
      </c>
      <c r="C18" s="8" t="s">
        <v>19</v>
      </c>
      <c r="D18" s="54" t="s">
        <v>2</v>
      </c>
      <c r="E18" s="55"/>
      <c r="F18" s="54"/>
      <c r="G18" s="55"/>
      <c r="H18" s="11">
        <v>2</v>
      </c>
    </row>
    <row r="19" spans="2:8" x14ac:dyDescent="0.3">
      <c r="B19" s="12">
        <v>2.2000000000000002</v>
      </c>
      <c r="C19" s="8" t="s">
        <v>20</v>
      </c>
      <c r="D19" s="54" t="s">
        <v>48</v>
      </c>
      <c r="E19" s="55"/>
      <c r="F19" s="54"/>
      <c r="G19" s="55"/>
      <c r="H19" s="11">
        <v>0</v>
      </c>
    </row>
    <row r="20" spans="2:8" x14ac:dyDescent="0.3">
      <c r="B20" s="12">
        <v>2.2999999999999998</v>
      </c>
      <c r="C20" s="8" t="s">
        <v>21</v>
      </c>
      <c r="D20" s="54" t="s">
        <v>2</v>
      </c>
      <c r="E20" s="55"/>
      <c r="F20" s="54"/>
      <c r="G20" s="55"/>
      <c r="H20" s="11">
        <v>2</v>
      </c>
    </row>
    <row r="21" spans="2:8" ht="28.8" x14ac:dyDescent="0.3">
      <c r="B21" s="12">
        <v>2.4</v>
      </c>
      <c r="C21" s="8" t="s">
        <v>22</v>
      </c>
      <c r="D21" s="54" t="s">
        <v>2</v>
      </c>
      <c r="E21" s="55"/>
      <c r="F21" s="54"/>
      <c r="G21" s="55"/>
      <c r="H21" s="11">
        <v>2</v>
      </c>
    </row>
    <row r="22" spans="2:8" ht="28.8" x14ac:dyDescent="0.3">
      <c r="B22" s="12">
        <v>2.5</v>
      </c>
      <c r="C22" s="8" t="s">
        <v>23</v>
      </c>
      <c r="D22" s="54" t="s">
        <v>2</v>
      </c>
      <c r="E22" s="55"/>
      <c r="F22" s="54"/>
      <c r="G22" s="55"/>
      <c r="H22" s="11">
        <v>2</v>
      </c>
    </row>
    <row r="23" spans="2:8" ht="28.8" x14ac:dyDescent="0.3">
      <c r="B23" s="12">
        <v>2.6</v>
      </c>
      <c r="C23" s="8" t="s">
        <v>24</v>
      </c>
      <c r="D23" s="54" t="s">
        <v>2</v>
      </c>
      <c r="E23" s="55"/>
      <c r="F23" s="54"/>
      <c r="G23" s="55"/>
      <c r="H23" s="11">
        <v>2</v>
      </c>
    </row>
    <row r="24" spans="2:8" x14ac:dyDescent="0.3">
      <c r="B24" s="67" t="s">
        <v>26</v>
      </c>
      <c r="C24" s="68"/>
      <c r="D24" s="68"/>
      <c r="E24" s="68"/>
      <c r="F24" s="68"/>
      <c r="G24" s="68"/>
      <c r="H24" s="69"/>
    </row>
    <row r="25" spans="2:8" x14ac:dyDescent="0.3">
      <c r="B25" s="12">
        <v>3.1</v>
      </c>
      <c r="C25" s="2" t="s">
        <v>27</v>
      </c>
      <c r="D25" s="54" t="s">
        <v>2</v>
      </c>
      <c r="E25" s="55"/>
      <c r="F25" s="54"/>
      <c r="G25" s="55"/>
      <c r="H25" s="11">
        <v>2</v>
      </c>
    </row>
    <row r="26" spans="2:8" ht="28.8" x14ac:dyDescent="0.3">
      <c r="B26" s="12">
        <v>3.2</v>
      </c>
      <c r="C26" s="9" t="s">
        <v>28</v>
      </c>
      <c r="D26" s="54" t="s">
        <v>2</v>
      </c>
      <c r="E26" s="55"/>
      <c r="F26" s="54"/>
      <c r="G26" s="55"/>
      <c r="H26" s="11">
        <v>2</v>
      </c>
    </row>
    <row r="27" spans="2:8" x14ac:dyDescent="0.3">
      <c r="B27" s="70" t="s">
        <v>29</v>
      </c>
      <c r="C27" s="71"/>
      <c r="D27" s="71"/>
      <c r="E27" s="71"/>
      <c r="F27" s="71"/>
      <c r="G27" s="71"/>
      <c r="H27" s="72"/>
    </row>
    <row r="28" spans="2:8" x14ac:dyDescent="0.3">
      <c r="B28" s="13">
        <v>4.0999999999999996</v>
      </c>
      <c r="C28" s="10" t="s">
        <v>30</v>
      </c>
      <c r="D28" s="54" t="s">
        <v>2</v>
      </c>
      <c r="E28" s="55"/>
      <c r="F28" s="54"/>
      <c r="G28" s="55"/>
      <c r="H28" s="11">
        <v>2</v>
      </c>
    </row>
    <row r="29" spans="2:8" ht="28.8" x14ac:dyDescent="0.3">
      <c r="B29" s="13">
        <v>4.2</v>
      </c>
      <c r="C29" s="10" t="s">
        <v>31</v>
      </c>
      <c r="D29" s="54" t="s">
        <v>2</v>
      </c>
      <c r="E29" s="55"/>
      <c r="F29" s="54"/>
      <c r="G29" s="55"/>
      <c r="H29" s="11">
        <v>2</v>
      </c>
    </row>
    <row r="30" spans="2:8" ht="43.2" x14ac:dyDescent="0.3">
      <c r="B30" s="13">
        <v>4.3</v>
      </c>
      <c r="C30" s="7" t="s">
        <v>32</v>
      </c>
      <c r="D30" s="54" t="s">
        <v>2</v>
      </c>
      <c r="E30" s="55"/>
      <c r="F30" s="54"/>
      <c r="G30" s="55"/>
      <c r="H30" s="11">
        <v>2</v>
      </c>
    </row>
    <row r="31" spans="2:8" x14ac:dyDescent="0.3">
      <c r="B31" s="62" t="s">
        <v>33</v>
      </c>
      <c r="C31" s="63"/>
      <c r="D31" s="63"/>
      <c r="E31" s="63"/>
      <c r="F31" s="63"/>
      <c r="G31" s="63"/>
      <c r="H31" s="64"/>
    </row>
    <row r="32" spans="2:8" ht="43.2" x14ac:dyDescent="0.3">
      <c r="B32" s="36">
        <v>5.0999999999999996</v>
      </c>
      <c r="C32" s="100" t="s">
        <v>34</v>
      </c>
      <c r="D32" s="101" t="s">
        <v>48</v>
      </c>
      <c r="E32" s="102"/>
      <c r="F32" s="101"/>
      <c r="G32" s="102"/>
      <c r="H32" s="103">
        <v>0</v>
      </c>
    </row>
    <row r="33" spans="2:8" x14ac:dyDescent="0.3">
      <c r="B33" s="36">
        <v>5.2</v>
      </c>
      <c r="C33" s="100" t="s">
        <v>35</v>
      </c>
      <c r="D33" s="101" t="s">
        <v>2</v>
      </c>
      <c r="E33" s="102"/>
      <c r="F33" s="101"/>
      <c r="G33" s="102"/>
      <c r="H33" s="103">
        <v>1</v>
      </c>
    </row>
    <row r="34" spans="2:8" ht="28.8" x14ac:dyDescent="0.3">
      <c r="B34" s="14">
        <v>5.3</v>
      </c>
      <c r="C34" s="7" t="s">
        <v>36</v>
      </c>
      <c r="D34" s="54" t="s">
        <v>2</v>
      </c>
      <c r="E34" s="55"/>
      <c r="F34" s="54"/>
      <c r="G34" s="55"/>
      <c r="H34" s="11">
        <v>1</v>
      </c>
    </row>
    <row r="35" spans="2:8" ht="28.8" x14ac:dyDescent="0.3">
      <c r="B35" s="14">
        <v>5.4</v>
      </c>
      <c r="C35" s="7" t="s">
        <v>37</v>
      </c>
      <c r="D35" s="54" t="s">
        <v>2</v>
      </c>
      <c r="E35" s="55"/>
      <c r="F35" s="54"/>
      <c r="G35" s="55"/>
      <c r="H35" s="11">
        <v>2</v>
      </c>
    </row>
    <row r="36" spans="2:8" ht="28.8" x14ac:dyDescent="0.3">
      <c r="B36" s="14">
        <v>5.5</v>
      </c>
      <c r="C36" s="7" t="s">
        <v>38</v>
      </c>
      <c r="D36" s="54" t="s">
        <v>48</v>
      </c>
      <c r="E36" s="55"/>
      <c r="F36" s="54"/>
      <c r="G36" s="55"/>
      <c r="H36" s="11">
        <v>0</v>
      </c>
    </row>
    <row r="37" spans="2:8" x14ac:dyDescent="0.3">
      <c r="B37" s="73" t="s">
        <v>39</v>
      </c>
      <c r="C37" s="74"/>
      <c r="D37" s="74"/>
      <c r="E37" s="74"/>
      <c r="F37" s="74"/>
      <c r="G37" s="74"/>
      <c r="H37" s="75"/>
    </row>
    <row r="38" spans="2:8" x14ac:dyDescent="0.3">
      <c r="B38" s="14">
        <v>6.1</v>
      </c>
      <c r="C38" s="8" t="s">
        <v>40</v>
      </c>
      <c r="D38" s="54" t="s">
        <v>2</v>
      </c>
      <c r="E38" s="55"/>
      <c r="F38" s="54"/>
      <c r="G38" s="55"/>
      <c r="H38" s="11">
        <v>1</v>
      </c>
    </row>
    <row r="39" spans="2:8" ht="28.8" x14ac:dyDescent="0.3">
      <c r="B39" s="14">
        <v>6.2</v>
      </c>
      <c r="C39" s="8" t="s">
        <v>74</v>
      </c>
      <c r="D39" s="54" t="s">
        <v>2</v>
      </c>
      <c r="E39" s="55"/>
      <c r="F39" s="54"/>
      <c r="G39" s="55"/>
      <c r="H39" s="11">
        <v>1</v>
      </c>
    </row>
    <row r="40" spans="2:8" ht="28.8" x14ac:dyDescent="0.3">
      <c r="B40" s="14">
        <v>6.3</v>
      </c>
      <c r="C40" s="8" t="s">
        <v>41</v>
      </c>
      <c r="D40" s="54" t="s">
        <v>48</v>
      </c>
      <c r="E40" s="55"/>
      <c r="F40" s="54"/>
      <c r="G40" s="55"/>
      <c r="H40" s="11">
        <v>0</v>
      </c>
    </row>
    <row r="41" spans="2:8" ht="28.8" x14ac:dyDescent="0.3">
      <c r="B41" s="14">
        <v>6.4</v>
      </c>
      <c r="C41" s="8" t="s">
        <v>42</v>
      </c>
      <c r="D41" s="54" t="s">
        <v>48</v>
      </c>
      <c r="E41" s="55"/>
      <c r="F41" s="54"/>
      <c r="G41" s="55"/>
      <c r="H41" s="11">
        <v>0</v>
      </c>
    </row>
    <row r="42" spans="2:8" ht="28.8" x14ac:dyDescent="0.3">
      <c r="B42" s="14">
        <v>6.5</v>
      </c>
      <c r="C42" s="8" t="s">
        <v>43</v>
      </c>
      <c r="D42" s="54" t="s">
        <v>48</v>
      </c>
      <c r="E42" s="55"/>
      <c r="F42" s="54"/>
      <c r="G42" s="55"/>
      <c r="H42" s="11">
        <v>0</v>
      </c>
    </row>
    <row r="43" spans="2:8" ht="28.8" x14ac:dyDescent="0.3">
      <c r="B43" s="14">
        <v>6.6</v>
      </c>
      <c r="C43" s="8" t="s">
        <v>44</v>
      </c>
      <c r="D43" s="54" t="s">
        <v>48</v>
      </c>
      <c r="E43" s="55"/>
      <c r="F43" s="54"/>
      <c r="G43" s="55"/>
      <c r="H43" s="11">
        <v>0</v>
      </c>
    </row>
    <row r="44" spans="2:8" ht="28.8" x14ac:dyDescent="0.3">
      <c r="B44" s="36">
        <v>6.7</v>
      </c>
      <c r="C44" s="100" t="s">
        <v>45</v>
      </c>
      <c r="D44" s="101" t="s">
        <v>48</v>
      </c>
      <c r="E44" s="102"/>
      <c r="F44" s="101"/>
      <c r="G44" s="102"/>
      <c r="H44" s="103">
        <v>0</v>
      </c>
    </row>
    <row r="45" spans="2:8" x14ac:dyDescent="0.3">
      <c r="B45" s="14">
        <v>6.8</v>
      </c>
      <c r="C45" s="8" t="s">
        <v>46</v>
      </c>
      <c r="D45" s="54" t="s">
        <v>48</v>
      </c>
      <c r="E45" s="55"/>
      <c r="F45" s="54"/>
      <c r="G45" s="55"/>
      <c r="H45" s="11">
        <v>0</v>
      </c>
    </row>
    <row r="46" spans="2:8" ht="58.2" thickBot="1" x14ac:dyDescent="0.35">
      <c r="B46" s="15">
        <v>6.9</v>
      </c>
      <c r="C46" s="16" t="s">
        <v>47</v>
      </c>
      <c r="D46" s="76" t="s">
        <v>2</v>
      </c>
      <c r="E46" s="77"/>
      <c r="F46" s="76"/>
      <c r="G46" s="77"/>
      <c r="H46" s="17">
        <v>1</v>
      </c>
    </row>
    <row r="47" spans="2:8" ht="15" thickBot="1" x14ac:dyDescent="0.35"/>
    <row r="48" spans="2:8" x14ac:dyDescent="0.3">
      <c r="B48" s="85" t="s">
        <v>52</v>
      </c>
      <c r="C48" s="18">
        <v>0</v>
      </c>
      <c r="D48" s="79" t="s">
        <v>53</v>
      </c>
      <c r="E48" s="79"/>
      <c r="F48" s="79"/>
      <c r="G48" s="79"/>
      <c r="H48" s="80"/>
    </row>
    <row r="49" spans="2:8" x14ac:dyDescent="0.3">
      <c r="B49" s="86"/>
      <c r="C49" s="19">
        <v>1</v>
      </c>
      <c r="D49" s="81" t="s">
        <v>54</v>
      </c>
      <c r="E49" s="81"/>
      <c r="F49" s="81"/>
      <c r="G49" s="81"/>
      <c r="H49" s="82"/>
    </row>
    <row r="50" spans="2:8" ht="15" thickBot="1" x14ac:dyDescent="0.35">
      <c r="B50" s="87"/>
      <c r="C50" s="20">
        <v>2</v>
      </c>
      <c r="D50" s="83" t="s">
        <v>55</v>
      </c>
      <c r="E50" s="83"/>
      <c r="F50" s="83"/>
      <c r="G50" s="83"/>
      <c r="H50" s="84"/>
    </row>
    <row r="52" spans="2:8" ht="14.4" customHeight="1" x14ac:dyDescent="0.3">
      <c r="B52" s="78" t="s">
        <v>4</v>
      </c>
      <c r="C52" s="78"/>
      <c r="D52" s="78"/>
      <c r="E52" s="78"/>
      <c r="F52" s="78"/>
      <c r="G52" s="78"/>
      <c r="H52" s="78"/>
    </row>
    <row r="53" spans="2:8" x14ac:dyDescent="0.3">
      <c r="B53" s="78"/>
      <c r="C53" s="78"/>
      <c r="D53" s="78"/>
      <c r="E53" s="78"/>
      <c r="F53" s="78"/>
      <c r="G53" s="78"/>
      <c r="H53" s="78"/>
    </row>
  </sheetData>
  <mergeCells count="83">
    <mergeCell ref="B52:H53"/>
    <mergeCell ref="D46:E46"/>
    <mergeCell ref="D48:H48"/>
    <mergeCell ref="D49:H49"/>
    <mergeCell ref="D50:H50"/>
    <mergeCell ref="B48:B50"/>
    <mergeCell ref="D41:E41"/>
    <mergeCell ref="D42:E42"/>
    <mergeCell ref="D43:E43"/>
    <mergeCell ref="D44:E44"/>
    <mergeCell ref="D45:E45"/>
    <mergeCell ref="D35:E35"/>
    <mergeCell ref="D36:E36"/>
    <mergeCell ref="D38:E38"/>
    <mergeCell ref="D39:E39"/>
    <mergeCell ref="D40:E40"/>
    <mergeCell ref="F43:G43"/>
    <mergeCell ref="F44:G44"/>
    <mergeCell ref="F45:G45"/>
    <mergeCell ref="F46:G46"/>
    <mergeCell ref="D13:E13"/>
    <mergeCell ref="D14:E14"/>
    <mergeCell ref="D15:E15"/>
    <mergeCell ref="D16:E16"/>
    <mergeCell ref="D18:E18"/>
    <mergeCell ref="D19:E19"/>
    <mergeCell ref="D20:E20"/>
    <mergeCell ref="D21:E21"/>
    <mergeCell ref="D22:E22"/>
    <mergeCell ref="D23:E23"/>
    <mergeCell ref="D25:E25"/>
    <mergeCell ref="D26:E26"/>
    <mergeCell ref="F38:G38"/>
    <mergeCell ref="F39:G39"/>
    <mergeCell ref="F40:G40"/>
    <mergeCell ref="F41:G41"/>
    <mergeCell ref="F42:G42"/>
    <mergeCell ref="F28:G28"/>
    <mergeCell ref="F29:G29"/>
    <mergeCell ref="F30:G30"/>
    <mergeCell ref="B31:H31"/>
    <mergeCell ref="B37:H37"/>
    <mergeCell ref="F32:G32"/>
    <mergeCell ref="F33:G33"/>
    <mergeCell ref="F34:G34"/>
    <mergeCell ref="F35:G35"/>
    <mergeCell ref="F36:G36"/>
    <mergeCell ref="D28:E28"/>
    <mergeCell ref="D29:E29"/>
    <mergeCell ref="D30:E30"/>
    <mergeCell ref="D32:E32"/>
    <mergeCell ref="D33:E33"/>
    <mergeCell ref="D34:E34"/>
    <mergeCell ref="B24:H24"/>
    <mergeCell ref="B27:H27"/>
    <mergeCell ref="F18:G18"/>
    <mergeCell ref="F19:G19"/>
    <mergeCell ref="F20:G20"/>
    <mergeCell ref="F21:G21"/>
    <mergeCell ref="F22:G22"/>
    <mergeCell ref="F23:G23"/>
    <mergeCell ref="F25:G25"/>
    <mergeCell ref="F26:G26"/>
    <mergeCell ref="F15:G15"/>
    <mergeCell ref="F16:G16"/>
    <mergeCell ref="F10:G11"/>
    <mergeCell ref="H10:H11"/>
    <mergeCell ref="B17:H17"/>
    <mergeCell ref="B10:C11"/>
    <mergeCell ref="B12:H12"/>
    <mergeCell ref="F13:G13"/>
    <mergeCell ref="F14:G14"/>
    <mergeCell ref="B8:C8"/>
    <mergeCell ref="D8:H8"/>
    <mergeCell ref="B9:C9"/>
    <mergeCell ref="D9:H9"/>
    <mergeCell ref="D10:E10"/>
    <mergeCell ref="G4:H4"/>
    <mergeCell ref="B5:H5"/>
    <mergeCell ref="B3:E4"/>
    <mergeCell ref="G3:H3"/>
    <mergeCell ref="D6:H7"/>
    <mergeCell ref="B6:C7"/>
  </mergeCell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B40EF4-F999-4090-8EBF-35817E7E125D}">
          <x14:formula1>
            <xm:f>Hoja2!$A$1:$A$2</xm:f>
          </x14:formula1>
          <xm:sqref>D13:D16 D18:E23 D25:E26 D28:E30 D32:E36 D38:E46</xm:sqref>
        </x14:dataValidation>
        <x14:dataValidation type="list" allowBlank="1" showInputMessage="1" showErrorMessage="1" xr:uid="{8A3CDDC8-1E83-4300-A5E0-65B44E0FD13F}">
          <x14:formula1>
            <xm:f>Hoja2!$C$1:$C$3</xm:f>
          </x14:formula1>
          <xm:sqref>H13:H16 H18:H23 H25:H26 H28:H30 H32:H36 H38:H46</xm:sqref>
        </x14:dataValidation>
        <x14:dataValidation type="list" allowBlank="1" showInputMessage="1" showErrorMessage="1" xr:uid="{A19B3CE8-F0B0-4A7C-AA02-69DEE29E8B5F}">
          <x14:formula1>
            <xm:f>Hoja2!$B$1:$B$4</xm:f>
          </x14:formula1>
          <xm:sqref>D6:H7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8A44-6C31-45D7-84AD-48A159C7AA67}">
  <dimension ref="B3:H20"/>
  <sheetViews>
    <sheetView workbookViewId="0">
      <selection activeCell="E7" sqref="E7:F11"/>
    </sheetView>
  </sheetViews>
  <sheetFormatPr baseColWidth="10" defaultRowHeight="14.4" x14ac:dyDescent="0.3"/>
  <cols>
    <col min="2" max="2" width="13.44140625" customWidth="1"/>
    <col min="3" max="3" width="12.5546875" customWidth="1"/>
    <col min="5" max="5" width="7.88671875" customWidth="1"/>
    <col min="6" max="6" width="8.5546875" customWidth="1"/>
  </cols>
  <sheetData>
    <row r="3" spans="2:8" ht="15" thickBot="1" x14ac:dyDescent="0.35"/>
    <row r="4" spans="2:8" x14ac:dyDescent="0.3">
      <c r="B4" s="42"/>
      <c r="C4" s="43"/>
      <c r="D4" s="43"/>
      <c r="E4" s="3" t="s">
        <v>5</v>
      </c>
      <c r="F4" s="23"/>
      <c r="G4" s="90"/>
      <c r="H4" s="90"/>
    </row>
    <row r="5" spans="2:8" x14ac:dyDescent="0.3">
      <c r="B5" s="44"/>
      <c r="C5" s="45"/>
      <c r="D5" s="45"/>
      <c r="E5" s="1" t="s">
        <v>6</v>
      </c>
      <c r="F5" s="4">
        <v>1</v>
      </c>
      <c r="G5" s="90"/>
      <c r="H5" s="90"/>
    </row>
    <row r="6" spans="2:8" x14ac:dyDescent="0.3">
      <c r="B6" s="91" t="s">
        <v>57</v>
      </c>
      <c r="C6" s="92"/>
      <c r="D6" s="92"/>
      <c r="E6" s="92" t="s">
        <v>58</v>
      </c>
      <c r="F6" s="93"/>
    </row>
    <row r="7" spans="2:8" x14ac:dyDescent="0.3">
      <c r="B7" s="62" t="s">
        <v>15</v>
      </c>
      <c r="C7" s="63"/>
      <c r="D7" s="63"/>
      <c r="E7" s="88">
        <f>((SUM('Ficha Control'!H13:H16)*100/8))</f>
        <v>25</v>
      </c>
      <c r="F7" s="89"/>
      <c r="G7" s="21"/>
      <c r="H7" s="21"/>
    </row>
    <row r="8" spans="2:8" x14ac:dyDescent="0.3">
      <c r="B8" s="62" t="s">
        <v>25</v>
      </c>
      <c r="C8" s="63"/>
      <c r="D8" s="63"/>
      <c r="E8" s="88">
        <f>((SUM('Ficha Control'!H18:H23)*100/12))</f>
        <v>83.333333333333329</v>
      </c>
      <c r="F8" s="89"/>
      <c r="G8" s="21"/>
      <c r="H8" s="21"/>
    </row>
    <row r="9" spans="2:8" x14ac:dyDescent="0.3">
      <c r="B9" s="62" t="s">
        <v>26</v>
      </c>
      <c r="C9" s="63"/>
      <c r="D9" s="63"/>
      <c r="E9" s="88">
        <f>((SUM('Ficha Control'!H25:H26)*100/4))</f>
        <v>100</v>
      </c>
      <c r="F9" s="89"/>
      <c r="G9" s="21"/>
      <c r="H9" s="21"/>
    </row>
    <row r="10" spans="2:8" x14ac:dyDescent="0.3">
      <c r="B10" s="62" t="s">
        <v>29</v>
      </c>
      <c r="C10" s="63"/>
      <c r="D10" s="63"/>
      <c r="E10" s="88">
        <f>((SUM('Ficha Control'!H28:H30)*100/6))</f>
        <v>100</v>
      </c>
      <c r="F10" s="89"/>
      <c r="G10" s="21"/>
      <c r="H10" s="21"/>
    </row>
    <row r="11" spans="2:8" x14ac:dyDescent="0.3">
      <c r="B11" s="62" t="s">
        <v>33</v>
      </c>
      <c r="C11" s="63"/>
      <c r="D11" s="63"/>
      <c r="E11" s="88">
        <f>((SUM('Ficha Control'!H32:H36)*100/10))</f>
        <v>40</v>
      </c>
      <c r="F11" s="89"/>
      <c r="G11" s="21"/>
      <c r="H11" s="21"/>
    </row>
    <row r="12" spans="2:8" ht="14.4" customHeight="1" thickBot="1" x14ac:dyDescent="0.35">
      <c r="B12" s="98" t="s">
        <v>56</v>
      </c>
      <c r="C12" s="99"/>
      <c r="D12" s="99"/>
      <c r="E12" s="88">
        <f>((SUM('Ficha Control'!H38:H46)*100/18))</f>
        <v>16.666666666666668</v>
      </c>
      <c r="F12" s="89"/>
      <c r="G12" s="22"/>
      <c r="H12" s="22"/>
    </row>
    <row r="13" spans="2:8" ht="15" thickBot="1" x14ac:dyDescent="0.35">
      <c r="B13" s="94" t="s">
        <v>59</v>
      </c>
      <c r="C13" s="95"/>
      <c r="D13" s="95"/>
      <c r="E13" s="96">
        <f>AVERAGE(E7:F12)</f>
        <v>60.833333333333336</v>
      </c>
      <c r="F13" s="97"/>
    </row>
    <row r="14" spans="2:8" ht="15" thickBot="1" x14ac:dyDescent="0.35"/>
    <row r="15" spans="2:8" x14ac:dyDescent="0.3">
      <c r="B15" s="24" t="s">
        <v>60</v>
      </c>
      <c r="C15" s="25" t="s">
        <v>61</v>
      </c>
    </row>
    <row r="16" spans="2:8" x14ac:dyDescent="0.3">
      <c r="B16" s="26" t="s">
        <v>62</v>
      </c>
      <c r="C16" s="27" t="s">
        <v>66</v>
      </c>
    </row>
    <row r="17" spans="2:3" x14ac:dyDescent="0.3">
      <c r="B17" s="28" t="s">
        <v>63</v>
      </c>
      <c r="C17" s="29" t="s">
        <v>67</v>
      </c>
    </row>
    <row r="18" spans="2:3" x14ac:dyDescent="0.3">
      <c r="B18" s="30" t="s">
        <v>64</v>
      </c>
      <c r="C18" s="31" t="s">
        <v>68</v>
      </c>
    </row>
    <row r="19" spans="2:3" x14ac:dyDescent="0.3">
      <c r="B19" s="32" t="s">
        <v>65</v>
      </c>
      <c r="C19" s="33" t="s">
        <v>69</v>
      </c>
    </row>
    <row r="20" spans="2:3" ht="15" thickBot="1" x14ac:dyDescent="0.35">
      <c r="B20" s="34" t="s">
        <v>71</v>
      </c>
      <c r="C20" s="35" t="s">
        <v>70</v>
      </c>
    </row>
  </sheetData>
  <mergeCells count="19">
    <mergeCell ref="B13:D13"/>
    <mergeCell ref="E13:F13"/>
    <mergeCell ref="B11:D11"/>
    <mergeCell ref="B12:D12"/>
    <mergeCell ref="E7:F7"/>
    <mergeCell ref="E8:F8"/>
    <mergeCell ref="B7:D7"/>
    <mergeCell ref="B8:D8"/>
    <mergeCell ref="E12:F12"/>
    <mergeCell ref="G4:H4"/>
    <mergeCell ref="G5:H5"/>
    <mergeCell ref="B4:D5"/>
    <mergeCell ref="B6:D6"/>
    <mergeCell ref="E6:F6"/>
    <mergeCell ref="B9:D9"/>
    <mergeCell ref="B10:D10"/>
    <mergeCell ref="E9:F9"/>
    <mergeCell ref="E10:F10"/>
    <mergeCell ref="E11:F11"/>
  </mergeCells>
  <conditionalFormatting sqref="E13:F13">
    <cfRule type="cellIs" dxfId="4" priority="1" operator="greaterThanOrEqual">
      <formula>91</formula>
    </cfRule>
    <cfRule type="cellIs" dxfId="3" priority="2" operator="between">
      <formula>71</formula>
      <formula>90</formula>
    </cfRule>
    <cfRule type="cellIs" dxfId="2" priority="3" operator="between">
      <formula>51</formula>
      <formula>70</formula>
    </cfRule>
    <cfRule type="cellIs" dxfId="1" priority="4" operator="between">
      <formula>31</formula>
      <formula>50</formula>
    </cfRule>
    <cfRule type="cellIs" dxfId="0" priority="5" operator="lessThanOrEqual">
      <formula>30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73A3-8E36-489E-98B9-28B4C531309F}">
  <dimension ref="A1:C4"/>
  <sheetViews>
    <sheetView workbookViewId="0">
      <selection activeCell="D17" sqref="D17"/>
    </sheetView>
  </sheetViews>
  <sheetFormatPr baseColWidth="10" defaultRowHeight="14.4" x14ac:dyDescent="0.3"/>
  <sheetData>
    <row r="1" spans="1:3" x14ac:dyDescent="0.3">
      <c r="A1" t="s">
        <v>2</v>
      </c>
      <c r="B1" t="s">
        <v>72</v>
      </c>
      <c r="C1">
        <v>0</v>
      </c>
    </row>
    <row r="2" spans="1:3" x14ac:dyDescent="0.3">
      <c r="A2" t="s">
        <v>48</v>
      </c>
      <c r="B2" t="s">
        <v>49</v>
      </c>
      <c r="C2">
        <v>1</v>
      </c>
    </row>
    <row r="3" spans="1:3" x14ac:dyDescent="0.3">
      <c r="B3" t="s">
        <v>50</v>
      </c>
      <c r="C3">
        <v>2</v>
      </c>
    </row>
    <row r="4" spans="1:3" x14ac:dyDescent="0.3">
      <c r="B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Control</vt:lpstr>
      <vt:lpstr>Total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marin</dc:creator>
  <cp:lastModifiedBy>DARCY YAMILE DURAN ACOSTA</cp:lastModifiedBy>
  <dcterms:created xsi:type="dcterms:W3CDTF">2024-06-16T00:31:07Z</dcterms:created>
  <dcterms:modified xsi:type="dcterms:W3CDTF">2024-07-04T23:06:31Z</dcterms:modified>
</cp:coreProperties>
</file>